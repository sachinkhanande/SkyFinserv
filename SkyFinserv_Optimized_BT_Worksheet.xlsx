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. Deal Summary &amp; KPIs" state="visible" r:id="rId4"/>
    <sheet sheetId="2" name="2. Existing Loan Portfolio" state="visible" r:id="rId5"/>
    <sheet sheetId="3" name="3. Collateral &amp; LTV" state="visible" r:id="rId6"/>
    <sheet sheetId="4" name="4. BT Benefit Analysis" state="visible" r:id="rId7"/>
    <sheet sheetId="5" name="5. Parallel Tenure Matrix" state="visible" r:id="rId8"/>
    <sheet sheetId="6" name="6. Underwriting &amp; Eligibility" state="visible" r:id="rId9"/>
  </sheets>
  <calcPr calcId="171027"/>
</workbook>
</file>

<file path=xl/sharedStrings.xml><?xml version="1.0" encoding="utf-8"?>
<sst xmlns="http://schemas.openxmlformats.org/spreadsheetml/2006/main" count="208" uniqueCount="150">
  <si>
    <t>SKYFINSERV FINANCIAL SERVICES — EXECUTIVE BT &amp; CAM SUMMARY</t>
  </si>
  <si>
    <t>Client: Padia Imaging Pvt. Ltd / Dr. Govind Padiya | Case Ref: SKF-PADIA-8801</t>
  </si>
  <si>
    <t>Key Metric / Parameter</t>
  </si>
  <si>
    <t>Existing / Position</t>
  </si>
  <si>
    <t>Offered / Structuring</t>
  </si>
  <si>
    <t>Net Variance / Impact</t>
  </si>
  <si>
    <t>Total Loan Portfolio (Sanctioned)</t>
  </si>
  <si>
    <t>-</t>
  </si>
  <si>
    <t>Across 8 credit facilities</t>
  </si>
  <si>
    <t>Total Live Principal Outstanding (POS)</t>
  </si>
  <si>
    <t>Total debt liability</t>
  </si>
  <si>
    <t>Balance Transfer Takeover (BT POS)</t>
  </si>
  <si>
    <t>6 Live Loans Taken Over</t>
  </si>
  <si>
    <t>Assessed Collateral Market Value</t>
  </si>
  <si>
    <t>2 Properties (Clinic + Land)</t>
  </si>
  <si>
    <t>Total Property LTV Eligible Limit (70%)</t>
  </si>
  <si>
    <t>Max borrowing headroom</t>
  </si>
  <si>
    <t>Offered Consolidated BT + Top-up Facility</t>
  </si>
  <si>
    <t>@ 8.15% ROI for 180 Months</t>
  </si>
  <si>
    <t>Total Existing Monthly BT Outflow (EMI)</t>
  </si>
  <si>
    <t>Monthly Cash Flow Relief: ₹ 3,91,984</t>
  </si>
  <si>
    <t>Liquidity / In-Hand Top-Up Cash Surplus</t>
  </si>
  <si>
    <t>Direct working capital / expansion</t>
  </si>
  <si>
    <t>Customer Overall Net Financial Benefit</t>
  </si>
  <si>
    <t>Net Interest Saved After All Charges</t>
  </si>
  <si>
    <t>Proposed Multi-Tranche Structuring</t>
  </si>
  <si>
    <t>Tranche Description</t>
  </si>
  <si>
    <t>Amount</t>
  </si>
  <si>
    <t>ROI (%)</t>
  </si>
  <si>
    <t>Processing / Stamp Fee</t>
  </si>
  <si>
    <t>Tranche 1 (Primary Term Loan)</t>
  </si>
  <si>
    <t>0.25% (₹ 50,000 Cap)</t>
  </si>
  <si>
    <t>Tranche 2 (Consolidated LAP / BT Top-Up)</t>
  </si>
  <si>
    <t>0.50% (₹ 50,000 Cap)</t>
  </si>
  <si>
    <t>Total Structured Funding</t>
  </si>
  <si>
    <t>Combined Optimal Rate</t>
  </si>
  <si>
    <t>EXISTING CREDIT FACILITIES &amp; OBLIGATION GRID</t>
  </si>
  <si>
    <t>Borrower / Entity</t>
  </si>
  <si>
    <t>Lender / Bank</t>
  </si>
  <si>
    <t>Facility Type</t>
  </si>
  <si>
    <t>Sanction Amount</t>
  </si>
  <si>
    <t>Original Tenure (M)</t>
  </si>
  <si>
    <t>Start Date</t>
  </si>
  <si>
    <t>Current EMI</t>
  </si>
  <si>
    <t>EMIs Paid</t>
  </si>
  <si>
    <t>Principal Outstanding</t>
  </si>
  <si>
    <t>Obligation?</t>
  </si>
  <si>
    <t>Take Over (BT)?</t>
  </si>
  <si>
    <t>Account Ref</t>
  </si>
  <si>
    <t>Padia Imaging</t>
  </si>
  <si>
    <t>HDFC</t>
  </si>
  <si>
    <t>EQUIPMENT</t>
  </si>
  <si>
    <t>15-05-2022</t>
  </si>
  <si>
    <t>No</t>
  </si>
  <si>
    <t>Yes</t>
  </si>
  <si>
    <t>BOI-CA-11367</t>
  </si>
  <si>
    <t>Bank of India</t>
  </si>
  <si>
    <t>CGTMSE</t>
  </si>
  <si>
    <t>24-04-2024</t>
  </si>
  <si>
    <t>BOI-CA-626</t>
  </si>
  <si>
    <t>Govind Padiya</t>
  </si>
  <si>
    <t>ICICI Bank</t>
  </si>
  <si>
    <t>BL</t>
  </si>
  <si>
    <t>10-05-2023</t>
  </si>
  <si>
    <t>ICICI-OD</t>
  </si>
  <si>
    <t>Bajaj</t>
  </si>
  <si>
    <t>Flexy OD</t>
  </si>
  <si>
    <t>02-10-2024</t>
  </si>
  <si>
    <t>BOI-SB-11367</t>
  </si>
  <si>
    <t>LIC</t>
  </si>
  <si>
    <t>HL</t>
  </si>
  <si>
    <t>10-05-2021</t>
  </si>
  <si>
    <t>HDB</t>
  </si>
  <si>
    <t>LAP</t>
  </si>
  <si>
    <t>28-08-2023</t>
  </si>
  <si>
    <t>LNT</t>
  </si>
  <si>
    <t>DROP LINE OD</t>
  </si>
  <si>
    <t>25-06-2025</t>
  </si>
  <si>
    <t>Govind Padiya (Rohan)</t>
  </si>
  <si>
    <t>BOI</t>
  </si>
  <si>
    <t>EDUCATION LOAN</t>
  </si>
  <si>
    <t>09-09-2024</t>
  </si>
  <si>
    <t>TOTAL PORTFOLIO</t>
  </si>
  <si>
    <t>TOTAL TAKE OVER (BT ONLY)</t>
  </si>
  <si>
    <t>PROPERTY VALUATION &amp; LTV ELIGIBILITY ASSESSMENT</t>
  </si>
  <si>
    <t>Property Description / Collateral</t>
  </si>
  <si>
    <t>Land Area (Sq.Ft)</t>
  </si>
  <si>
    <t>Land Rate (₹/Sq.Ft)</t>
  </si>
  <si>
    <t>Land Valuation</t>
  </si>
  <si>
    <t>Built Area (Sq.Ft)</t>
  </si>
  <si>
    <t>Built Rate (₹/Sq.Ft)</t>
  </si>
  <si>
    <t>Built Valuation</t>
  </si>
  <si>
    <t>Total Market Value</t>
  </si>
  <si>
    <t>LTV %</t>
  </si>
  <si>
    <t>Eligible Loan</t>
  </si>
  <si>
    <t>Property 1: Commercial Clinic Premises (Govind Padiya)</t>
  </si>
  <si>
    <t>Property 2: Residential Land / Bunglow Plot (Govind Padiya)</t>
  </si>
  <si>
    <t>TOTAL COLLATERAL ELIGIBILITY</t>
  </si>
  <si>
    <t>BALANCE TRANSFER (BT) SAVINGS &amp; FINANCIAL BENEFIT MATRIX</t>
  </si>
  <si>
    <t>Ex. ROI (%)</t>
  </si>
  <si>
    <t>Ex. Monthly EMI</t>
  </si>
  <si>
    <t>Pending Tenure (M)</t>
  </si>
  <si>
    <t>Ex. Total Pay</t>
  </si>
  <si>
    <t>Ex. Total Interest</t>
  </si>
  <si>
    <t>Foreclosure %</t>
  </si>
  <si>
    <t>Foreclosure Charges</t>
  </si>
  <si>
    <t>New ROI (%)</t>
  </si>
  <si>
    <t>New Monthly EMI</t>
  </si>
  <si>
    <t>New Total Pay</t>
  </si>
  <si>
    <t>New Total Interest</t>
  </si>
  <si>
    <t>PF+Stamp %</t>
  </si>
  <si>
    <t>PF+Stamp Charges</t>
  </si>
  <si>
    <t>Customer Net Benefit</t>
  </si>
  <si>
    <t>TOTALS &amp; CONSOLIDATED BENEFIT</t>
  </si>
  <si>
    <t>PARALLEL TENURE PAYOFF &amp; CASH FLOW COMPARISON (EXACT MATCHING PERIOD)</t>
  </si>
  <si>
    <t>Tenure (M)</t>
  </si>
  <si>
    <t>Offered ROI (%)</t>
  </si>
  <si>
    <t>Offered Monthly EMI</t>
  </si>
  <si>
    <t>Offered Total Pay</t>
  </si>
  <si>
    <t>Gross Difference</t>
  </si>
  <si>
    <t>FC %</t>
  </si>
  <si>
    <t>Foreclosure Amt</t>
  </si>
  <si>
    <t>PF %</t>
  </si>
  <si>
    <t>PF + Stamp Amt</t>
  </si>
  <si>
    <t>Total Expenses</t>
  </si>
  <si>
    <t>TOTALS</t>
  </si>
  <si>
    <t>UNDERWRITING CREDIT ASSESSMENT &amp; MULTI-PROGRAM LOAN ELIGIBILITY MATRIX</t>
  </si>
  <si>
    <t>Underwriting Sizing Parameters &amp; Benchmarks: FOIR: 60% (Max 200%) | LTV: 60% | ROI: 10.50% | Tenure: 180 Months | Per Lakh EMI: ₹ 1,105</t>
  </si>
  <si>
    <t>Eligibility Assessment Program / Model</t>
  </si>
  <si>
    <t>FOIR (%)</t>
  </si>
  <si>
    <t>LTV (%)</t>
  </si>
  <si>
    <t>Max Allowable Monthly EMI</t>
  </si>
  <si>
    <t>Loan Eligibility (₹)</t>
  </si>
  <si>
    <t>Underwriting Mathematical Logic &amp; Basis</t>
  </si>
  <si>
    <t>1. Loan Eligibility business or self emp.</t>
  </si>
  <si>
    <t>(((Cashflow Avg ₹ 73.16L - Tax)/12 × 60% FOIR) - Obligations ₹ 13.35L) / EMI Factor</t>
  </si>
  <si>
    <t>2. Loan Eligibility Salaried.</t>
  </si>
  <si>
    <t>(Net Salary In-Hand ₹ 2.50L/mo × 60% FOIR) - Obligations / EMI Factor</t>
  </si>
  <si>
    <t>3. Loan Eligibility On EMI Base</t>
  </si>
  <si>
    <t>Existing Clean Repayment Track Multiplier (1.2x Track Method) / EMI Factor</t>
  </si>
  <si>
    <t>4. Eligibility Based On GTP for Traders &amp; service Provider</t>
  </si>
  <si>
    <t>Turnover ₹ 1.37 Cr × 5% Deemed Profit Margin @ 60% FOIR less Obligations</t>
  </si>
  <si>
    <t>5. Eligibility Based On GTP for Manufacturer</t>
  </si>
  <si>
    <t>Turnover ₹ 1.37 Cr × 10% Operating Margin @ 60% FOIR less Obligations</t>
  </si>
  <si>
    <t>6. Bank Surrogate</t>
  </si>
  <si>
    <t>Average Bank Balance (ABB) ₹ 1,28,867 × Inflow Banking Multiplier @ 10.5%</t>
  </si>
  <si>
    <t>7. LTV Eligibility (Property Collateral Net of POS)</t>
  </si>
  <si>
    <t>Market Valuation ₹ 70.00 Lakhs × 60% LTV less POS ₹ 33.25 Lakhs (or Full ₹ 6.33 Cr Cover)</t>
  </si>
  <si>
    <t>RECOMMENDED FINAL UNDERWRITER SANCTION CAPACITY</t>
  </si>
  <si>
    <t>Binding Limit: Min( Primary Cashflow Capacity: ₹ 1.81 Cr, Net LTV Collateral Limit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</si>
</sst>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₹ #,##,##0"/>
    <numFmt numFmtId="165" formatCode="#,##,##0"/>
  </numFmts>
  <fonts count="12" x14ac:knownFonts="1">
    <font>
      <color theme="1"/>
      <family val="2"/>
      <scheme val="minor"/>
      <sz val="11"/>
      <name val="Calibri"/>
    </font>
    <font>
      <b/>
      <color rgb="FFFFFF"/>
      <sz val="15"/>
      <name val="Calibri"/>
    </font>
    <font>
      <i/>
      <color rgb="475569"/>
      <sz val="11"/>
      <name val="Calibri"/>
    </font>
    <font>
      <b/>
      <color rgb="FFFFFF"/>
      <sz val="11"/>
      <name val="Calibri"/>
    </font>
    <font>
      <b/>
      <color rgb="0F172A"/>
      <sz val="10.5"/>
      <name val="Calibri"/>
    </font>
    <font>
      <color rgb="0F172A"/>
      <sz val="10.5"/>
      <name val="Calibri"/>
    </font>
    <font>
      <b/>
      <color rgb="059669"/>
      <sz val="11"/>
    </font>
    <font>
      <b/>
      <color rgb="059669"/>
    </font>
    <font>
      <b/>
      <color rgb="059669"/>
      <sz val="10.5"/>
    </font>
    <font>
      <b/>
      <color rgb="334155"/>
      <sz val="10.5"/>
      <name val="Calibri"/>
    </font>
    <font>
      <b/>
      <color rgb="D97706"/>
      <sz val="11"/>
    </font>
    <font>
      <b/>
      <color rgb="059669"/>
      <sz val="12"/>
    </font>
  </fonts>
  <fills count="9">
    <fill>
      <patternFill patternType="none"/>
    </fill>
    <fill>
      <patternFill patternType="gray125"/>
    </fill>
    <fill>
      <patternFill patternType="solid">
        <fgColor rgb="1E3A8A"/>
      </patternFill>
    </fill>
    <fill>
      <patternFill patternType="solid">
        <fgColor rgb="F1F5F9"/>
      </patternFill>
    </fill>
    <fill>
      <patternFill patternType="solid">
        <fgColor rgb="334155"/>
      </patternFill>
    </fill>
    <fill>
      <patternFill patternType="solid">
        <fgColor rgb="D1FAE5"/>
      </patternFill>
    </fill>
    <fill>
      <patternFill patternType="solid">
        <fgColor rgb="FEF3C7"/>
      </patternFill>
    </fill>
    <fill>
      <patternFill patternType="solid">
        <fgColor rgb="DBEAFE"/>
      </patternFill>
    </fill>
    <fill>
      <patternFill patternType="solid">
        <fgColor rgb="059669"/>
      </patternFill>
    </fill>
  </fills>
  <borders count="2">
    <border>
      <left/>
      <right/>
      <top/>
      <bottom/>
      <diagonal/>
    </border>
    <border>
      <left style="thin">
        <color rgb="CBD5E1"/>
      </left>
      <right style="thin">
        <color rgb="CBD5E1"/>
      </right>
      <top style="thin">
        <color rgb="CBD5E1"/>
      </top>
      <bottom style="thin">
        <color rgb="CBD5E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4" fillId="6" borderId="1" xfId="0" applyNumberFormat="1" applyFont="1" applyFill="1" applyBorder="1" applyAlignment="1">
      <alignment horizontal="right" vertical="center"/>
    </xf>
    <xf numFmtId="10" fontId="4" fillId="6" borderId="1" xfId="0" applyNumberFormat="1" applyFont="1" applyFill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7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164" fontId="4" fillId="7" borderId="1" xfId="0" applyNumberFormat="1" applyFont="1" applyFill="1" applyBorder="1" applyAlignment="1">
      <alignment horizontal="right" vertical="center"/>
    </xf>
    <xf numFmtId="164" fontId="8" fillId="5" borderId="1" xfId="0" applyNumberFormat="1" applyFont="1" applyFill="1" applyBorder="1" applyAlignment="1">
      <alignment horizontal="right" vertical="center"/>
    </xf>
    <xf numFmtId="0" fontId="9" fillId="3" borderId="0" xfId="0" applyFont="1" applyFill="1" applyAlignment="1">
      <alignment horizontal="center" vertical="center"/>
    </xf>
    <xf numFmtId="164" fontId="10" fillId="6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10" fontId="5" fillId="5" borderId="1" xfId="0" applyNumberFormat="1" applyFont="1" applyFill="1" applyBorder="1" applyAlignment="1">
      <alignment horizontal="right" vertical="center"/>
    </xf>
    <xf numFmtId="0" fontId="3" fillId="8" borderId="1" xfId="0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/>
  </sheetViews>
  <sheetFormatPr defaultRowHeight="15" outlineLevelRow="0" outlineLevelCol="0" x14ac:dyDescent="55"/>
  <cols>
    <col min="1" max="1" width="38" customWidth="1"/>
    <col min="2" max="2" width="22" customWidth="1"/>
    <col min="3" max="3" width="24" customWidth="1"/>
    <col min="4" max="4" width="36" customWidth="1"/>
    <col min="5" max="7" width="15" customWidth="1"/>
  </cols>
  <sheetData>
    <row r="1" ht="35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4" customHeight="1" spans="1:7" x14ac:dyDescent="0.25">
      <c r="A2" s="2" t="s">
        <v>1</v>
      </c>
      <c r="B2" s="2"/>
      <c r="C2" s="2"/>
      <c r="D2" s="2"/>
      <c r="E2" s="2"/>
      <c r="F2" s="2"/>
      <c r="G2" s="2"/>
    </row>
    <row r="4" ht="24" customHeight="1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ht="24" customHeight="1" spans="1:4" x14ac:dyDescent="0.25">
      <c r="A5" s="4" t="s">
        <v>6</v>
      </c>
      <c r="B5" s="5">
        <v>88238559</v>
      </c>
      <c r="C5" s="6" t="s">
        <v>7</v>
      </c>
      <c r="D5" s="6" t="s">
        <v>8</v>
      </c>
    </row>
    <row r="6" ht="24" customHeight="1" spans="1:4" x14ac:dyDescent="0.25">
      <c r="A6" s="4" t="s">
        <v>9</v>
      </c>
      <c r="B6" s="5">
        <v>68001823</v>
      </c>
      <c r="C6" s="6" t="s">
        <v>7</v>
      </c>
      <c r="D6" s="6" t="s">
        <v>10</v>
      </c>
    </row>
    <row r="7" ht="24" customHeight="1" spans="1:4" x14ac:dyDescent="0.25">
      <c r="A7" s="4" t="s">
        <v>11</v>
      </c>
      <c r="B7" s="5">
        <v>38937424</v>
      </c>
      <c r="C7" s="5">
        <v>38937424</v>
      </c>
      <c r="D7" s="6" t="s">
        <v>12</v>
      </c>
    </row>
    <row r="8" ht="24" customHeight="1" spans="1:4" x14ac:dyDescent="0.25">
      <c r="A8" s="4" t="s">
        <v>13</v>
      </c>
      <c r="B8" s="6" t="s">
        <v>7</v>
      </c>
      <c r="C8" s="5">
        <v>63372500</v>
      </c>
      <c r="D8" s="6" t="s">
        <v>14</v>
      </c>
    </row>
    <row r="9" ht="24" customHeight="1" spans="1:4" x14ac:dyDescent="0.25">
      <c r="A9" s="4" t="s">
        <v>15</v>
      </c>
      <c r="B9" s="6" t="s">
        <v>7</v>
      </c>
      <c r="C9" s="5">
        <v>44360750</v>
      </c>
      <c r="D9" s="6" t="s">
        <v>16</v>
      </c>
    </row>
    <row r="10" ht="24" customHeight="1" spans="1:4" x14ac:dyDescent="0.25">
      <c r="A10" s="4" t="s">
        <v>17</v>
      </c>
      <c r="B10" s="6" t="s">
        <v>7</v>
      </c>
      <c r="C10" s="5">
        <v>45000000</v>
      </c>
      <c r="D10" s="6" t="s">
        <v>18</v>
      </c>
    </row>
    <row r="11" ht="24" customHeight="1" spans="1:4" x14ac:dyDescent="0.25">
      <c r="A11" s="4" t="s">
        <v>19</v>
      </c>
      <c r="B11" s="5">
        <v>835234</v>
      </c>
      <c r="C11" s="5">
        <v>443250</v>
      </c>
      <c r="D11" s="6" t="s">
        <v>20</v>
      </c>
    </row>
    <row r="12" ht="24" customHeight="1" spans="1:4" x14ac:dyDescent="0.25">
      <c r="A12" s="4" t="s">
        <v>21</v>
      </c>
      <c r="B12" s="6" t="s">
        <v>7</v>
      </c>
      <c r="C12" s="5">
        <v>6062576</v>
      </c>
      <c r="D12" s="6" t="s">
        <v>22</v>
      </c>
    </row>
    <row r="13" ht="24" customHeight="1" spans="1:4" x14ac:dyDescent="0.25">
      <c r="A13" s="7" t="s">
        <v>23</v>
      </c>
      <c r="B13" s="7" t="s">
        <v>7</v>
      </c>
      <c r="C13" s="8">
        <v>3549251</v>
      </c>
      <c r="D13" s="7" t="s">
        <v>24</v>
      </c>
    </row>
    <row r="16" ht="24" customHeight="1" spans="1:4" x14ac:dyDescent="0.25">
      <c r="A16" s="9" t="s">
        <v>25</v>
      </c>
      <c r="B16" s="9"/>
      <c r="C16" s="9"/>
      <c r="D16" s="9"/>
    </row>
    <row r="17" ht="22" customHeight="1" spans="1:4" x14ac:dyDescent="0.25">
      <c r="A17" s="3" t="s">
        <v>26</v>
      </c>
      <c r="B17" s="3" t="s">
        <v>27</v>
      </c>
      <c r="C17" s="3" t="s">
        <v>28</v>
      </c>
      <c r="D17" s="3" t="s">
        <v>29</v>
      </c>
    </row>
    <row r="18" ht="22" customHeight="1" spans="1:4" x14ac:dyDescent="0.25">
      <c r="A18" s="6" t="s">
        <v>30</v>
      </c>
      <c r="B18" s="5">
        <v>5200000</v>
      </c>
      <c r="C18" s="10">
        <v>0.079</v>
      </c>
      <c r="D18" s="6" t="s">
        <v>31</v>
      </c>
    </row>
    <row r="19" ht="22" customHeight="1" spans="1:4" x14ac:dyDescent="0.25">
      <c r="A19" s="6" t="s">
        <v>32</v>
      </c>
      <c r="B19" s="5">
        <v>29700000</v>
      </c>
      <c r="C19" s="10">
        <v>0.0815</v>
      </c>
      <c r="D19" s="6" t="s">
        <v>33</v>
      </c>
    </row>
    <row r="20" ht="22" customHeight="1" spans="1:4" x14ac:dyDescent="0.25">
      <c r="A20" s="11" t="s">
        <v>34</v>
      </c>
      <c r="B20" s="12">
        <v>34900000</v>
      </c>
      <c r="C20" s="13">
        <v>0.0811</v>
      </c>
      <c r="D20" s="11" t="s">
        <v>35</v>
      </c>
    </row>
  </sheetData>
  <mergeCells count="3">
    <mergeCell ref="A1:G1"/>
    <mergeCell ref="A2:G2"/>
    <mergeCell ref="A16:D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/>
  </sheetViews>
  <sheetFormatPr defaultRowHeight="15" outlineLevelRow="0" outlineLevelCol="0" x14ac:dyDescent="55"/>
  <cols>
    <col min="1" max="1" width="24" customWidth="1"/>
    <col min="2" max="2" width="16" customWidth="1"/>
    <col min="3" max="5" width="18" customWidth="1"/>
    <col min="6" max="6" width="14" customWidth="1"/>
    <col min="7" max="7" width="16" customWidth="1"/>
    <col min="8" max="8" width="12" customWidth="1"/>
    <col min="9" max="9" width="22" customWidth="1"/>
    <col min="10" max="10" width="14" customWidth="1"/>
    <col min="11" max="12" width="16" customWidth="1"/>
  </cols>
  <sheetData>
    <row r="1" ht="30" customHeight="1" spans="1:12" x14ac:dyDescent="0.25">
      <c r="A1" s="9" t="s">
        <v>36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3" ht="25" customHeight="1" spans="1:12" x14ac:dyDescent="0.25">
      <c r="A3" s="3" t="s">
        <v>37</v>
      </c>
      <c r="B3" s="3" t="s">
        <v>38</v>
      </c>
      <c r="C3" s="3" t="s">
        <v>39</v>
      </c>
      <c r="D3" s="3" t="s">
        <v>40</v>
      </c>
      <c r="E3" s="3" t="s">
        <v>41</v>
      </c>
      <c r="F3" s="3" t="s">
        <v>42</v>
      </c>
      <c r="G3" s="3" t="s">
        <v>43</v>
      </c>
      <c r="H3" s="3" t="s">
        <v>44</v>
      </c>
      <c r="I3" s="3" t="s">
        <v>45</v>
      </c>
      <c r="J3" s="3" t="s">
        <v>46</v>
      </c>
      <c r="K3" s="3" t="s">
        <v>47</v>
      </c>
      <c r="L3" s="3" t="s">
        <v>48</v>
      </c>
    </row>
    <row r="4" ht="22" customHeight="1" spans="1:12" x14ac:dyDescent="0.25">
      <c r="A4" s="6" t="s">
        <v>49</v>
      </c>
      <c r="B4" s="6" t="s">
        <v>50</v>
      </c>
      <c r="C4" s="6" t="s">
        <v>51</v>
      </c>
      <c r="D4" s="5">
        <v>13257000</v>
      </c>
      <c r="E4" s="14">
        <v>90</v>
      </c>
      <c r="F4" s="6" t="s">
        <v>52</v>
      </c>
      <c r="G4" s="5">
        <v>208282</v>
      </c>
      <c r="H4" s="14">
        <v>45</v>
      </c>
      <c r="I4" s="5">
        <v>5567405</v>
      </c>
      <c r="J4" s="6" t="s">
        <v>53</v>
      </c>
      <c r="K4" s="15" t="s">
        <v>54</v>
      </c>
      <c r="L4" s="6" t="s">
        <v>55</v>
      </c>
    </row>
    <row r="5" ht="22" customHeight="1" spans="1:12" x14ac:dyDescent="0.25">
      <c r="A5" s="6" t="s">
        <v>49</v>
      </c>
      <c r="B5" s="6" t="s">
        <v>56</v>
      </c>
      <c r="C5" s="6" t="s">
        <v>57</v>
      </c>
      <c r="D5" s="5">
        <v>32700000</v>
      </c>
      <c r="E5" s="14">
        <v>90</v>
      </c>
      <c r="F5" s="6" t="s">
        <v>58</v>
      </c>
      <c r="G5" s="5">
        <v>500000</v>
      </c>
      <c r="H5" s="14">
        <v>45</v>
      </c>
      <c r="I5" s="5">
        <v>29064399</v>
      </c>
      <c r="J5" s="6" t="s">
        <v>53</v>
      </c>
      <c r="K5" s="6" t="s">
        <v>53</v>
      </c>
      <c r="L5" s="6" t="s">
        <v>59</v>
      </c>
    </row>
    <row r="6" ht="22" customHeight="1" spans="1:12" x14ac:dyDescent="0.25">
      <c r="A6" s="6" t="s">
        <v>60</v>
      </c>
      <c r="B6" s="6" t="s">
        <v>61</v>
      </c>
      <c r="C6" s="6" t="s">
        <v>62</v>
      </c>
      <c r="D6" s="5">
        <v>6000000</v>
      </c>
      <c r="E6" s="14">
        <v>60</v>
      </c>
      <c r="F6" s="6" t="s">
        <v>63</v>
      </c>
      <c r="G6" s="5">
        <v>128702</v>
      </c>
      <c r="H6" s="14">
        <v>33</v>
      </c>
      <c r="I6" s="5">
        <v>3189332</v>
      </c>
      <c r="J6" s="6" t="s">
        <v>53</v>
      </c>
      <c r="K6" s="15" t="s">
        <v>54</v>
      </c>
      <c r="L6" s="6" t="s">
        <v>64</v>
      </c>
    </row>
    <row r="7" ht="22" customHeight="1" spans="1:12" x14ac:dyDescent="0.25">
      <c r="A7" s="6" t="s">
        <v>60</v>
      </c>
      <c r="B7" s="6" t="s">
        <v>65</v>
      </c>
      <c r="C7" s="6" t="s">
        <v>66</v>
      </c>
      <c r="D7" s="5">
        <v>6081559</v>
      </c>
      <c r="E7" s="14">
        <v>96</v>
      </c>
      <c r="F7" s="6" t="s">
        <v>67</v>
      </c>
      <c r="G7" s="5">
        <v>69685</v>
      </c>
      <c r="H7" s="14">
        <v>27</v>
      </c>
      <c r="I7" s="5">
        <v>6081559</v>
      </c>
      <c r="J7" s="6" t="s">
        <v>53</v>
      </c>
      <c r="K7" s="15" t="s">
        <v>54</v>
      </c>
      <c r="L7" s="6" t="s">
        <v>68</v>
      </c>
    </row>
    <row r="8" ht="22" customHeight="1" spans="1:12" x14ac:dyDescent="0.25">
      <c r="A8" s="6" t="s">
        <v>60</v>
      </c>
      <c r="B8" s="6" t="s">
        <v>69</v>
      </c>
      <c r="C8" s="6" t="s">
        <v>70</v>
      </c>
      <c r="D8" s="5">
        <v>7900000</v>
      </c>
      <c r="E8" s="14">
        <v>133</v>
      </c>
      <c r="F8" s="6" t="s">
        <v>71</v>
      </c>
      <c r="G8" s="5">
        <v>90716</v>
      </c>
      <c r="H8" s="14">
        <v>57</v>
      </c>
      <c r="I8" s="5">
        <v>5194122</v>
      </c>
      <c r="J8" s="6" t="s">
        <v>53</v>
      </c>
      <c r="K8" s="15" t="s">
        <v>54</v>
      </c>
      <c r="L8" s="6" t="s">
        <v>68</v>
      </c>
    </row>
    <row r="9" ht="22" customHeight="1" spans="1:12" x14ac:dyDescent="0.25">
      <c r="A9" s="6" t="s">
        <v>60</v>
      </c>
      <c r="B9" s="6" t="s">
        <v>72</v>
      </c>
      <c r="C9" s="6" t="s">
        <v>73</v>
      </c>
      <c r="D9" s="5">
        <v>17800000</v>
      </c>
      <c r="E9" s="14">
        <v>108</v>
      </c>
      <c r="F9" s="6" t="s">
        <v>74</v>
      </c>
      <c r="G9" s="5">
        <v>245809</v>
      </c>
      <c r="H9" s="14">
        <v>28</v>
      </c>
      <c r="I9" s="5">
        <v>14524298</v>
      </c>
      <c r="J9" s="6" t="s">
        <v>53</v>
      </c>
      <c r="K9" s="15" t="s">
        <v>54</v>
      </c>
      <c r="L9" s="6" t="s">
        <v>68</v>
      </c>
    </row>
    <row r="10" ht="22" customHeight="1" spans="1:12" x14ac:dyDescent="0.25">
      <c r="A10" s="6" t="s">
        <v>60</v>
      </c>
      <c r="B10" s="6" t="s">
        <v>75</v>
      </c>
      <c r="C10" s="6" t="s">
        <v>76</v>
      </c>
      <c r="D10" s="5">
        <v>2000000</v>
      </c>
      <c r="E10" s="14">
        <v>60</v>
      </c>
      <c r="F10" s="6" t="s">
        <v>77</v>
      </c>
      <c r="G10" s="5">
        <v>67040</v>
      </c>
      <c r="H10" s="14">
        <v>30</v>
      </c>
      <c r="I10" s="5">
        <v>1720065</v>
      </c>
      <c r="J10" s="6" t="s">
        <v>53</v>
      </c>
      <c r="K10" s="15" t="s">
        <v>54</v>
      </c>
      <c r="L10" s="6" t="s">
        <v>68</v>
      </c>
    </row>
    <row r="11" ht="22" customHeight="1" spans="1:12" x14ac:dyDescent="0.25">
      <c r="A11" s="6" t="s">
        <v>78</v>
      </c>
      <c r="B11" s="6" t="s">
        <v>79</v>
      </c>
      <c r="C11" s="6" t="s">
        <v>80</v>
      </c>
      <c r="D11" s="5">
        <v>2500000</v>
      </c>
      <c r="E11" s="14">
        <v>120</v>
      </c>
      <c r="F11" s="6" t="s">
        <v>81</v>
      </c>
      <c r="G11" s="5">
        <v>25000</v>
      </c>
      <c r="H11" s="14">
        <v>18</v>
      </c>
      <c r="I11" s="5">
        <v>2660643</v>
      </c>
      <c r="J11" s="6" t="s">
        <v>53</v>
      </c>
      <c r="K11" s="15" t="s">
        <v>54</v>
      </c>
      <c r="L11" s="6" t="s">
        <v>68</v>
      </c>
    </row>
    <row r="12" ht="24" customHeight="1" spans="1:12" x14ac:dyDescent="0.25">
      <c r="A12" s="16" t="s">
        <v>82</v>
      </c>
      <c r="B12" s="16"/>
      <c r="C12" s="16"/>
      <c r="D12" s="17">
        <f>SUM(D4:D11)</f>
      </c>
      <c r="E12" s="16"/>
      <c r="F12" s="16"/>
      <c r="G12" s="17">
        <f>SUM(G4:G11)</f>
      </c>
      <c r="H12" s="16"/>
      <c r="I12" s="17">
        <f>SUM(I4:I11)</f>
      </c>
      <c r="J12" s="16"/>
      <c r="K12" s="16"/>
      <c r="L12" s="16"/>
    </row>
    <row r="13" ht="24" customHeight="1" spans="1:12" x14ac:dyDescent="0.25">
      <c r="A13" s="11" t="s">
        <v>83</v>
      </c>
      <c r="B13" s="11"/>
      <c r="C13" s="11"/>
      <c r="D13" s="11"/>
      <c r="E13" s="11"/>
      <c r="F13" s="11"/>
      <c r="G13" s="12">
        <f>SUMIF(K4:K11, "Yes", G4:G11)</f>
      </c>
      <c r="H13" s="11"/>
      <c r="I13" s="12">
        <f>SUMIF(K4:K11, "Yes", I4:I11)</f>
      </c>
      <c r="J13" s="11"/>
      <c r="K13" s="11"/>
      <c r="L13" s="11"/>
    </row>
  </sheetData>
  <mergeCells count="1">
    <mergeCell ref="A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5" outlineLevelRow="0" outlineLevelCol="0" x14ac:dyDescent="55"/>
  <cols>
    <col min="1" max="1" width="42" customWidth="1"/>
    <col min="2" max="2" width="18" customWidth="1"/>
    <col min="3" max="4" width="20" customWidth="1"/>
    <col min="5" max="5" width="18" customWidth="1"/>
    <col min="6" max="7" width="20" customWidth="1"/>
    <col min="8" max="8" width="22" customWidth="1"/>
    <col min="9" max="9" width="12" customWidth="1"/>
    <col min="10" max="10" width="22" customWidth="1"/>
  </cols>
  <sheetData>
    <row r="1" ht="30" customHeight="1" spans="1:9" x14ac:dyDescent="0.25">
      <c r="A1" s="9" t="s">
        <v>84</v>
      </c>
      <c r="B1" s="9"/>
      <c r="C1" s="9"/>
      <c r="D1" s="9"/>
      <c r="E1" s="9"/>
      <c r="F1" s="9"/>
      <c r="G1" s="9"/>
      <c r="H1" s="9"/>
      <c r="I1" s="9"/>
    </row>
    <row r="3" ht="25" customHeight="1" spans="1:10" x14ac:dyDescent="0.25">
      <c r="A3" s="3" t="s">
        <v>85</v>
      </c>
      <c r="B3" s="3" t="s">
        <v>86</v>
      </c>
      <c r="C3" s="3" t="s">
        <v>87</v>
      </c>
      <c r="D3" s="3" t="s">
        <v>88</v>
      </c>
      <c r="E3" s="3" t="s">
        <v>89</v>
      </c>
      <c r="F3" s="3" t="s">
        <v>90</v>
      </c>
      <c r="G3" s="3" t="s">
        <v>91</v>
      </c>
      <c r="H3" s="3" t="s">
        <v>92</v>
      </c>
      <c r="I3" s="3" t="s">
        <v>93</v>
      </c>
      <c r="J3" s="3" t="s">
        <v>94</v>
      </c>
    </row>
    <row r="4" ht="22" customHeight="1" spans="1:10" x14ac:dyDescent="0.25">
      <c r="A4" s="6" t="s">
        <v>95</v>
      </c>
      <c r="B4" s="14">
        <v>1830</v>
      </c>
      <c r="C4" s="5">
        <v>12000</v>
      </c>
      <c r="D4" s="5">
        <f>B4*C4</f>
      </c>
      <c r="E4" s="14">
        <v>1565</v>
      </c>
      <c r="F4" s="5">
        <v>2500</v>
      </c>
      <c r="G4" s="5">
        <f>E4*F4</f>
      </c>
      <c r="H4" s="5">
        <f>D4+G4</f>
      </c>
      <c r="I4" s="10">
        <v>0.7</v>
      </c>
      <c r="J4" s="5">
        <f>H4*I4</f>
      </c>
    </row>
    <row r="5" ht="22" customHeight="1" spans="1:10" x14ac:dyDescent="0.25">
      <c r="A5" s="6" t="s">
        <v>96</v>
      </c>
      <c r="B5" s="14">
        <v>1500</v>
      </c>
      <c r="C5" s="5">
        <v>25000</v>
      </c>
      <c r="D5" s="5">
        <f>B5*C5</f>
      </c>
      <c r="E5" s="14">
        <v>0</v>
      </c>
      <c r="F5" s="5">
        <v>0</v>
      </c>
      <c r="G5" s="5">
        <f>E5*F5</f>
      </c>
      <c r="H5" s="5">
        <f>D5+G5</f>
      </c>
      <c r="I5" s="10">
        <v>0.7</v>
      </c>
      <c r="J5" s="5">
        <f>H5*I5</f>
      </c>
    </row>
    <row r="6" ht="24" customHeight="1" spans="1:10" x14ac:dyDescent="0.25">
      <c r="A6" s="11" t="s">
        <v>97</v>
      </c>
      <c r="B6" s="11"/>
      <c r="C6" s="11"/>
      <c r="D6" s="12">
        <f>SUM(D4:D5)</f>
      </c>
      <c r="E6" s="11"/>
      <c r="F6" s="11"/>
      <c r="G6" s="12">
        <f>SUM(G4:G5)</f>
      </c>
      <c r="H6" s="12">
        <f>SUM(H4:H5)</f>
      </c>
      <c r="I6" s="11"/>
      <c r="J6" s="12">
        <f>SUM(J4:J5)</f>
      </c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workbookViewId="0"/>
  </sheetViews>
  <sheetFormatPr defaultRowHeight="15" outlineLevelRow="0" outlineLevelCol="0" x14ac:dyDescent="55"/>
  <cols>
    <col min="1" max="1" width="16" customWidth="1"/>
    <col min="2" max="2" width="20" customWidth="1"/>
    <col min="3" max="3" width="13" customWidth="1"/>
    <col min="4" max="4" width="16" customWidth="1"/>
    <col min="5" max="5" width="17" customWidth="1"/>
    <col min="6" max="7" width="18" customWidth="1"/>
    <col min="8" max="8" width="14" customWidth="1"/>
    <col min="9" max="9" width="19" customWidth="1"/>
    <col min="10" max="10" width="13" customWidth="1"/>
    <col min="11" max="11" width="16" customWidth="1"/>
    <col min="12" max="13" width="18" customWidth="1"/>
    <col min="14" max="14" width="13" customWidth="1"/>
    <col min="15" max="15" width="18" customWidth="1"/>
    <col min="16" max="16" width="22" customWidth="1"/>
  </cols>
  <sheetData>
    <row r="1" ht="30" customHeight="1" spans="1:15" x14ac:dyDescent="0.25">
      <c r="A1" s="9" t="s">
        <v>98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3" ht="25" customHeight="1" spans="1:16" x14ac:dyDescent="0.25">
      <c r="A3" s="3" t="s">
        <v>38</v>
      </c>
      <c r="B3" s="3" t="s">
        <v>45</v>
      </c>
      <c r="C3" s="3" t="s">
        <v>99</v>
      </c>
      <c r="D3" s="3" t="s">
        <v>100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105</v>
      </c>
      <c r="J3" s="3" t="s">
        <v>106</v>
      </c>
      <c r="K3" s="3" t="s">
        <v>107</v>
      </c>
      <c r="L3" s="3" t="s">
        <v>108</v>
      </c>
      <c r="M3" s="3" t="s">
        <v>109</v>
      </c>
      <c r="N3" s="3" t="s">
        <v>110</v>
      </c>
      <c r="O3" s="3" t="s">
        <v>111</v>
      </c>
      <c r="P3" s="3" t="s">
        <v>112</v>
      </c>
    </row>
    <row r="4" ht="22" customHeight="1" spans="1:16" x14ac:dyDescent="0.25">
      <c r="A4" s="6" t="s">
        <v>50</v>
      </c>
      <c r="B4" s="5">
        <v>5567405</v>
      </c>
      <c r="C4" s="10">
        <v>0.103</v>
      </c>
      <c r="D4" s="5">
        <v>208282</v>
      </c>
      <c r="E4" s="14">
        <v>45</v>
      </c>
      <c r="F4" s="5">
        <f>D4*E4</f>
      </c>
      <c r="G4" s="5">
        <f>F4-B4</f>
      </c>
      <c r="H4" s="10">
        <v>0.025</v>
      </c>
      <c r="I4" s="5">
        <f>B4*H4</f>
      </c>
      <c r="J4" s="10">
        <v>0.081</v>
      </c>
      <c r="K4" s="5">
        <v>143874</v>
      </c>
      <c r="L4" s="5">
        <f>K4*E4</f>
      </c>
      <c r="M4" s="5">
        <f>L4-B4</f>
      </c>
      <c r="N4" s="10">
        <v>0.008</v>
      </c>
      <c r="O4" s="5">
        <f>B4*N4</f>
      </c>
      <c r="P4" s="18">
        <f>G4-I4-M4-O4</f>
      </c>
    </row>
    <row r="5" ht="22" customHeight="1" spans="1:16" x14ac:dyDescent="0.25">
      <c r="A5" s="6" t="s">
        <v>61</v>
      </c>
      <c r="B5" s="5">
        <v>3189332</v>
      </c>
      <c r="C5" s="10">
        <v>0.105</v>
      </c>
      <c r="D5" s="5">
        <v>128702</v>
      </c>
      <c r="E5" s="14">
        <v>27</v>
      </c>
      <c r="F5" s="5">
        <f>D5*E5</f>
      </c>
      <c r="G5" s="5">
        <f>F5-B5</f>
      </c>
      <c r="H5" s="10">
        <v>0</v>
      </c>
      <c r="I5" s="5">
        <f>B5*H5</f>
      </c>
      <c r="J5" s="10">
        <v>0.081</v>
      </c>
      <c r="K5" s="5">
        <v>129612</v>
      </c>
      <c r="L5" s="5">
        <f>K5*E5</f>
      </c>
      <c r="M5" s="5">
        <f>L5-B5</f>
      </c>
      <c r="N5" s="10">
        <v>0.008</v>
      </c>
      <c r="O5" s="5">
        <f>B5*N5</f>
      </c>
      <c r="P5" s="18">
        <f>G5-I5-M5-O5</f>
      </c>
    </row>
    <row r="6" ht="22" customHeight="1" spans="1:16" x14ac:dyDescent="0.25">
      <c r="A6" s="6" t="s">
        <v>65</v>
      </c>
      <c r="B6" s="5">
        <v>6081559</v>
      </c>
      <c r="C6" s="10">
        <v>0.1375</v>
      </c>
      <c r="D6" s="5">
        <v>140721</v>
      </c>
      <c r="E6" s="14">
        <v>60</v>
      </c>
      <c r="F6" s="5">
        <f>D6*E6</f>
      </c>
      <c r="G6" s="5">
        <f>F6-B6</f>
      </c>
      <c r="H6" s="10">
        <v>0.04</v>
      </c>
      <c r="I6" s="5">
        <f>B6*H6</f>
      </c>
      <c r="J6" s="10">
        <v>0.085</v>
      </c>
      <c r="K6" s="5">
        <v>124773</v>
      </c>
      <c r="L6" s="5">
        <f>K6*E6</f>
      </c>
      <c r="M6" s="5">
        <f>L6-B6</f>
      </c>
      <c r="N6" s="10">
        <v>0.008</v>
      </c>
      <c r="O6" s="5">
        <f>B6*N6</f>
      </c>
      <c r="P6" s="18">
        <f>G6-I6-M6-O6</f>
      </c>
    </row>
    <row r="7" ht="22" customHeight="1" spans="1:16" x14ac:dyDescent="0.25">
      <c r="A7" s="6" t="s">
        <v>69</v>
      </c>
      <c r="B7" s="5">
        <v>5194122</v>
      </c>
      <c r="C7" s="10">
        <v>0.092</v>
      </c>
      <c r="D7" s="5">
        <v>90716</v>
      </c>
      <c r="E7" s="14">
        <v>76</v>
      </c>
      <c r="F7" s="5">
        <f>D7*E7</f>
      </c>
      <c r="G7" s="5">
        <f>F7-B7</f>
      </c>
      <c r="H7" s="10">
        <v>0</v>
      </c>
      <c r="I7" s="5">
        <f>B7*H7</f>
      </c>
      <c r="J7" s="10">
        <v>0.076</v>
      </c>
      <c r="K7" s="5">
        <v>86319</v>
      </c>
      <c r="L7" s="5">
        <f>K7*E7</f>
      </c>
      <c r="M7" s="5">
        <f>L7-B7</f>
      </c>
      <c r="N7" s="10">
        <v>0.0055</v>
      </c>
      <c r="O7" s="5">
        <f>B7*N7</f>
      </c>
      <c r="P7" s="18">
        <f>G7-I7-M7-O7</f>
      </c>
    </row>
    <row r="8" ht="22" customHeight="1" spans="1:16" x14ac:dyDescent="0.25">
      <c r="A8" s="6" t="s">
        <v>72</v>
      </c>
      <c r="B8" s="5">
        <v>14524298</v>
      </c>
      <c r="C8" s="10">
        <v>0.094</v>
      </c>
      <c r="D8" s="5">
        <v>245809</v>
      </c>
      <c r="E8" s="14">
        <v>80</v>
      </c>
      <c r="F8" s="5">
        <f>D8*E8</f>
      </c>
      <c r="G8" s="5">
        <f>F8-B8</f>
      </c>
      <c r="H8" s="10">
        <v>0.04</v>
      </c>
      <c r="I8" s="5">
        <f>B8*H8</f>
      </c>
      <c r="J8" s="10">
        <v>0.085</v>
      </c>
      <c r="K8" s="5">
        <v>238452</v>
      </c>
      <c r="L8" s="5">
        <f>K8*E8</f>
      </c>
      <c r="M8" s="5">
        <f>L8-B8</f>
      </c>
      <c r="N8" s="10">
        <v>0.008</v>
      </c>
      <c r="O8" s="5">
        <f>B8*N8</f>
      </c>
      <c r="P8" s="18">
        <f>G8-I8-M8-O8</f>
      </c>
    </row>
    <row r="9" ht="22" customHeight="1" spans="1:16" x14ac:dyDescent="0.25">
      <c r="A9" s="6" t="s">
        <v>75</v>
      </c>
      <c r="B9" s="5">
        <v>1720065</v>
      </c>
      <c r="C9" s="10">
        <v>0.125</v>
      </c>
      <c r="D9" s="5">
        <v>67040</v>
      </c>
      <c r="E9" s="14">
        <v>30</v>
      </c>
      <c r="F9" s="5">
        <f>D9*E9</f>
      </c>
      <c r="G9" s="5">
        <f>F9-B9</f>
      </c>
      <c r="H9" s="10">
        <v>0.04</v>
      </c>
      <c r="I9" s="5">
        <f>B9*H9</f>
      </c>
      <c r="J9" s="10">
        <v>0.081</v>
      </c>
      <c r="K9" s="5">
        <v>63530</v>
      </c>
      <c r="L9" s="5">
        <f>K9*E9</f>
      </c>
      <c r="M9" s="5">
        <f>L9-B9</f>
      </c>
      <c r="N9" s="10">
        <v>0.008</v>
      </c>
      <c r="O9" s="5">
        <f>B9*N9</f>
      </c>
      <c r="P9" s="18">
        <f>G9-I9-M9-O9</f>
      </c>
    </row>
    <row r="10" ht="24" customHeight="1" spans="1:16" x14ac:dyDescent="0.25">
      <c r="A10" s="11" t="s">
        <v>113</v>
      </c>
      <c r="B10" s="12">
        <f>SUM(B4:B9)</f>
      </c>
      <c r="C10" s="11"/>
      <c r="D10" s="12">
        <f>SUM(D4:D9)</f>
      </c>
      <c r="E10" s="11"/>
      <c r="F10" s="12">
        <f>SUM(F4:F9)</f>
      </c>
      <c r="G10" s="12">
        <f>SUM(G4:G9)</f>
      </c>
      <c r="H10" s="11"/>
      <c r="I10" s="12">
        <f>SUM(I4:I9)</f>
      </c>
      <c r="J10" s="11"/>
      <c r="K10" s="12">
        <f>SUM(K4:K9)</f>
      </c>
      <c r="L10" s="12">
        <f>SUM(L4:L9)</f>
      </c>
      <c r="M10" s="12">
        <f>SUM(M4:M9)</f>
      </c>
      <c r="N10" s="11"/>
      <c r="O10" s="12">
        <f>SUM(O4:O9)</f>
      </c>
      <c r="P10" s="8">
        <f>SUM(P4:P9)</f>
      </c>
    </row>
  </sheetData>
  <mergeCells count="1">
    <mergeCell ref="A1:O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workbookViewId="0"/>
  </sheetViews>
  <sheetFormatPr defaultRowHeight="15" outlineLevelRow="0" outlineLevelCol="0" x14ac:dyDescent="55"/>
  <cols>
    <col min="1" max="1" width="16" customWidth="1"/>
    <col min="2" max="2" width="13" customWidth="1"/>
    <col min="3" max="3" width="16" customWidth="1"/>
    <col min="4" max="4" width="12" customWidth="1"/>
    <col min="5" max="5" width="18" customWidth="1"/>
    <col min="6" max="6" width="14" customWidth="1"/>
    <col min="7" max="7" width="18" customWidth="1"/>
    <col min="8" max="8" width="12" customWidth="1"/>
    <col min="9" max="10" width="18" customWidth="1"/>
    <col min="11" max="11" width="12" customWidth="1"/>
    <col min="12" max="12" width="18" customWidth="1"/>
    <col min="13" max="13" width="12" customWidth="1"/>
    <col min="14" max="15" width="18" customWidth="1"/>
  </cols>
  <sheetData>
    <row r="1" ht="30" customHeight="1" spans="1:15" x14ac:dyDescent="0.25">
      <c r="A1" s="9" t="s">
        <v>114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3" ht="25" customHeight="1" spans="1:15" x14ac:dyDescent="0.25">
      <c r="A3" s="3" t="s">
        <v>38</v>
      </c>
      <c r="B3" s="3" t="s">
        <v>99</v>
      </c>
      <c r="C3" s="3" t="s">
        <v>100</v>
      </c>
      <c r="D3" s="3" t="s">
        <v>115</v>
      </c>
      <c r="E3" s="3" t="s">
        <v>102</v>
      </c>
      <c r="F3" s="3" t="s">
        <v>116</v>
      </c>
      <c r="G3" s="3" t="s">
        <v>117</v>
      </c>
      <c r="H3" s="3" t="s">
        <v>115</v>
      </c>
      <c r="I3" s="3" t="s">
        <v>118</v>
      </c>
      <c r="J3" s="3" t="s">
        <v>119</v>
      </c>
      <c r="K3" s="3" t="s">
        <v>120</v>
      </c>
      <c r="L3" s="3" t="s">
        <v>121</v>
      </c>
      <c r="M3" s="3" t="s">
        <v>122</v>
      </c>
      <c r="N3" s="3" t="s">
        <v>123</v>
      </c>
      <c r="O3" s="3" t="s">
        <v>124</v>
      </c>
    </row>
    <row r="4" ht="22" customHeight="1" spans="1:15" x14ac:dyDescent="0.25">
      <c r="A4" s="6" t="s">
        <v>50</v>
      </c>
      <c r="B4" s="10">
        <v>0.103</v>
      </c>
      <c r="C4" s="5">
        <v>208282</v>
      </c>
      <c r="D4" s="14">
        <v>14</v>
      </c>
      <c r="E4" s="5">
        <f>C4*D4</f>
      </c>
      <c r="F4" s="10">
        <v>0.081</v>
      </c>
      <c r="G4" s="5">
        <v>143874</v>
      </c>
      <c r="H4" s="14">
        <v>14</v>
      </c>
      <c r="I4" s="5">
        <f>G4*H4</f>
      </c>
      <c r="J4" s="5">
        <f>E4-I4</f>
      </c>
      <c r="K4" s="10">
        <v>0.025</v>
      </c>
      <c r="L4" s="5">
        <v>139185.125</v>
      </c>
      <c r="M4" s="10">
        <v>0.008</v>
      </c>
      <c r="N4" s="5">
        <v>44539.24</v>
      </c>
      <c r="O4" s="5">
        <f>L4+N4</f>
      </c>
    </row>
    <row r="5" ht="22" customHeight="1" spans="1:15" x14ac:dyDescent="0.25">
      <c r="A5" s="6" t="s">
        <v>61</v>
      </c>
      <c r="B5" s="10">
        <v>0.105</v>
      </c>
      <c r="C5" s="5">
        <v>128702</v>
      </c>
      <c r="D5" s="14">
        <v>14</v>
      </c>
      <c r="E5" s="5">
        <f>C5*D5</f>
      </c>
      <c r="F5" s="10">
        <v>0.081</v>
      </c>
      <c r="G5" s="5">
        <v>129612</v>
      </c>
      <c r="H5" s="14">
        <v>14</v>
      </c>
      <c r="I5" s="5">
        <f>G5*H5</f>
      </c>
      <c r="J5" s="5">
        <f>E5-I5</f>
      </c>
      <c r="K5" s="10">
        <v>0</v>
      </c>
      <c r="L5" s="5">
        <v>0</v>
      </c>
      <c r="M5" s="10">
        <v>0.008</v>
      </c>
      <c r="N5" s="5">
        <v>25514.656</v>
      </c>
      <c r="O5" s="5">
        <f>L5+N5</f>
      </c>
    </row>
    <row r="6" ht="22" customHeight="1" spans="1:15" x14ac:dyDescent="0.25">
      <c r="A6" s="6" t="s">
        <v>65</v>
      </c>
      <c r="B6" s="10">
        <v>0.1375</v>
      </c>
      <c r="C6" s="5">
        <v>140721</v>
      </c>
      <c r="D6" s="14">
        <v>14</v>
      </c>
      <c r="E6" s="5">
        <f>C6*D6</f>
      </c>
      <c r="F6" s="10">
        <v>0.085</v>
      </c>
      <c r="G6" s="5">
        <v>124773</v>
      </c>
      <c r="H6" s="14">
        <v>14</v>
      </c>
      <c r="I6" s="5">
        <f>G6*H6</f>
      </c>
      <c r="J6" s="5">
        <f>E6-I6</f>
      </c>
      <c r="K6" s="10">
        <v>0.04</v>
      </c>
      <c r="L6" s="5">
        <v>243262.36000000002</v>
      </c>
      <c r="M6" s="10">
        <v>0.008</v>
      </c>
      <c r="N6" s="5">
        <v>48652.472</v>
      </c>
      <c r="O6" s="5">
        <f>L6+N6</f>
      </c>
    </row>
    <row r="7" ht="22" customHeight="1" spans="1:15" x14ac:dyDescent="0.25">
      <c r="A7" s="6" t="s">
        <v>69</v>
      </c>
      <c r="B7" s="10">
        <v>0.092</v>
      </c>
      <c r="C7" s="5">
        <v>90716</v>
      </c>
      <c r="D7" s="14">
        <v>14</v>
      </c>
      <c r="E7" s="5">
        <f>C7*D7</f>
      </c>
      <c r="F7" s="10">
        <v>0.076</v>
      </c>
      <c r="G7" s="5">
        <v>86319</v>
      </c>
      <c r="H7" s="14">
        <v>14</v>
      </c>
      <c r="I7" s="5">
        <f>G7*H7</f>
      </c>
      <c r="J7" s="5">
        <f>E7-I7</f>
      </c>
      <c r="K7" s="10">
        <v>0</v>
      </c>
      <c r="L7" s="5">
        <v>0</v>
      </c>
      <c r="M7" s="10">
        <v>0.0055</v>
      </c>
      <c r="N7" s="5">
        <v>28567.671</v>
      </c>
      <c r="O7" s="5">
        <f>L7+N7</f>
      </c>
    </row>
    <row r="8" ht="22" customHeight="1" spans="1:15" x14ac:dyDescent="0.25">
      <c r="A8" s="6" t="s">
        <v>72</v>
      </c>
      <c r="B8" s="10">
        <v>0.094</v>
      </c>
      <c r="C8" s="5">
        <v>245809</v>
      </c>
      <c r="D8" s="14">
        <v>14</v>
      </c>
      <c r="E8" s="5">
        <f>C8*D8</f>
      </c>
      <c r="F8" s="10">
        <v>0.085</v>
      </c>
      <c r="G8" s="5">
        <v>238452</v>
      </c>
      <c r="H8" s="14">
        <v>14</v>
      </c>
      <c r="I8" s="5">
        <f>G8*H8</f>
      </c>
      <c r="J8" s="5">
        <f>E8-I8</f>
      </c>
      <c r="K8" s="10">
        <v>0.04</v>
      </c>
      <c r="L8" s="5">
        <v>580971.92</v>
      </c>
      <c r="M8" s="10">
        <v>0.008</v>
      </c>
      <c r="N8" s="5">
        <v>116194.384</v>
      </c>
      <c r="O8" s="5">
        <f>L8+N8</f>
      </c>
    </row>
    <row r="9" ht="22" customHeight="1" spans="1:15" x14ac:dyDescent="0.25">
      <c r="A9" s="6" t="s">
        <v>75</v>
      </c>
      <c r="B9" s="10">
        <v>0.125</v>
      </c>
      <c r="C9" s="5">
        <v>67040</v>
      </c>
      <c r="D9" s="14">
        <v>14</v>
      </c>
      <c r="E9" s="5">
        <f>C9*D9</f>
      </c>
      <c r="F9" s="10">
        <v>0.081</v>
      </c>
      <c r="G9" s="5">
        <v>63530</v>
      </c>
      <c r="H9" s="14">
        <v>14</v>
      </c>
      <c r="I9" s="5">
        <f>G9*H9</f>
      </c>
      <c r="J9" s="5">
        <f>E9-I9</f>
      </c>
      <c r="K9" s="10">
        <v>0.04</v>
      </c>
      <c r="L9" s="5">
        <v>68802.6</v>
      </c>
      <c r="M9" s="10">
        <v>0.008</v>
      </c>
      <c r="N9" s="5">
        <v>13760.52</v>
      </c>
      <c r="O9" s="5">
        <f>L9+N9</f>
      </c>
    </row>
    <row r="10" ht="24" customHeight="1" spans="1:15" x14ac:dyDescent="0.25">
      <c r="A10" s="11" t="s">
        <v>125</v>
      </c>
      <c r="B10" s="11"/>
      <c r="C10" s="11"/>
      <c r="D10" s="11"/>
      <c r="E10" s="12">
        <f>SUM(E4:E9)</f>
      </c>
      <c r="F10" s="11"/>
      <c r="G10" s="11"/>
      <c r="H10" s="11"/>
      <c r="I10" s="12">
        <f>SUM(I4:I9)</f>
      </c>
      <c r="J10" s="12">
        <f>SUM(J4:J9)</f>
      </c>
      <c r="K10" s="11"/>
      <c r="L10" s="12">
        <f>SUM(L4:L9)</f>
      </c>
      <c r="M10" s="11"/>
      <c r="N10" s="12">
        <f>SUM(N4:N9)</f>
      </c>
      <c r="O10" s="12">
        <f>SUM(O4:O9)</f>
      </c>
    </row>
  </sheetData>
  <mergeCells count="1">
    <mergeCell ref="A1:O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/>
  </sheetViews>
  <sheetFormatPr defaultRowHeight="15" outlineLevelRow="0" outlineLevelCol="0" x14ac:dyDescent="55"/>
  <cols>
    <col min="1" max="1" width="44" customWidth="1"/>
    <col min="2" max="3" width="12" customWidth="1"/>
    <col min="4" max="4" width="24" customWidth="1"/>
    <col min="5" max="5" width="26" customWidth="1"/>
    <col min="6" max="6" width="56" customWidth="1"/>
  </cols>
  <sheetData>
    <row r="1" ht="30" customHeight="1" spans="1:6" x14ac:dyDescent="0.25">
      <c r="A1" s="9" t="s">
        <v>126</v>
      </c>
      <c r="B1" s="9"/>
      <c r="C1" s="9"/>
      <c r="D1" s="9"/>
      <c r="E1" s="9"/>
      <c r="F1" s="9"/>
    </row>
    <row r="3" ht="24" customHeight="1" spans="1:6" x14ac:dyDescent="0.25">
      <c r="A3" s="19" t="s">
        <v>127</v>
      </c>
      <c r="B3" s="19"/>
      <c r="C3" s="19"/>
      <c r="D3" s="19"/>
      <c r="E3" s="19"/>
      <c r="F3" s="19"/>
    </row>
    <row r="5" ht="25" customHeight="1" spans="1:6" x14ac:dyDescent="0.25">
      <c r="A5" s="3" t="s">
        <v>128</v>
      </c>
      <c r="B5" s="3" t="s">
        <v>129</v>
      </c>
      <c r="C5" s="3" t="s">
        <v>130</v>
      </c>
      <c r="D5" s="3" t="s">
        <v>131</v>
      </c>
      <c r="E5" s="3" t="s">
        <v>132</v>
      </c>
      <c r="F5" s="3" t="s">
        <v>133</v>
      </c>
    </row>
    <row r="6" ht="24" customHeight="1" spans="1:6" x14ac:dyDescent="0.25">
      <c r="A6" s="4" t="s">
        <v>134</v>
      </c>
      <c r="B6" s="10">
        <v>0.6</v>
      </c>
      <c r="C6" s="6" t="s">
        <v>7</v>
      </c>
      <c r="D6" s="5">
        <v>200338</v>
      </c>
      <c r="E6" s="20">
        <v>18130166</v>
      </c>
      <c r="F6" s="6" t="s">
        <v>135</v>
      </c>
    </row>
    <row r="7" ht="24" customHeight="1" spans="1:6" x14ac:dyDescent="0.25">
      <c r="A7" s="4" t="s">
        <v>136</v>
      </c>
      <c r="B7" s="10">
        <v>0.6</v>
      </c>
      <c r="C7" s="6" t="s">
        <v>7</v>
      </c>
      <c r="D7" s="5">
        <v>517256</v>
      </c>
      <c r="E7" s="20">
        <v>46810483</v>
      </c>
      <c r="F7" s="6" t="s">
        <v>137</v>
      </c>
    </row>
    <row r="8" ht="24" customHeight="1" spans="1:6" x14ac:dyDescent="0.25">
      <c r="A8" s="4" t="s">
        <v>138</v>
      </c>
      <c r="B8" s="6" t="s">
        <v>7</v>
      </c>
      <c r="C8" s="6" t="s">
        <v>7</v>
      </c>
      <c r="D8" s="5">
        <v>215475</v>
      </c>
      <c r="E8" s="20">
        <v>19500000</v>
      </c>
      <c r="F8" s="6" t="s">
        <v>139</v>
      </c>
    </row>
    <row r="9" ht="24" customHeight="1" spans="1:6" x14ac:dyDescent="0.25">
      <c r="A9" s="4" t="s">
        <v>140</v>
      </c>
      <c r="B9" s="10">
        <v>0.6</v>
      </c>
      <c r="C9" s="6" t="s">
        <v>7</v>
      </c>
      <c r="D9" s="5">
        <v>138618</v>
      </c>
      <c r="E9" s="20">
        <v>12544615</v>
      </c>
      <c r="F9" s="6" t="s">
        <v>141</v>
      </c>
    </row>
    <row r="10" ht="24" customHeight="1" spans="1:6" x14ac:dyDescent="0.25">
      <c r="A10" s="4" t="s">
        <v>142</v>
      </c>
      <c r="B10" s="10">
        <v>0.6</v>
      </c>
      <c r="C10" s="6" t="s">
        <v>7</v>
      </c>
      <c r="D10" s="5">
        <v>233087</v>
      </c>
      <c r="E10" s="20">
        <v>21093846</v>
      </c>
      <c r="F10" s="6" t="s">
        <v>143</v>
      </c>
    </row>
    <row r="11" ht="24" customHeight="1" spans="1:6" x14ac:dyDescent="0.25">
      <c r="A11" s="4" t="s">
        <v>144</v>
      </c>
      <c r="B11" s="6" t="s">
        <v>7</v>
      </c>
      <c r="C11" s="6" t="s">
        <v>7</v>
      </c>
      <c r="D11" s="5">
        <v>170878</v>
      </c>
      <c r="E11" s="20">
        <v>15464101</v>
      </c>
      <c r="F11" s="6" t="s">
        <v>145</v>
      </c>
    </row>
    <row r="12" ht="24" customHeight="1" spans="1:6" x14ac:dyDescent="0.25">
      <c r="A12" s="21" t="s">
        <v>146</v>
      </c>
      <c r="B12" s="22" t="s">
        <v>7</v>
      </c>
      <c r="C12" s="23">
        <v>0.6</v>
      </c>
      <c r="D12" s="22" t="s">
        <v>7</v>
      </c>
      <c r="E12" s="20">
        <v>36750000</v>
      </c>
      <c r="F12" s="22" t="s">
        <v>147</v>
      </c>
    </row>
    <row r="14" ht="28" customHeight="1" spans="1:6" x14ac:dyDescent="0.25">
      <c r="A14" s="24" t="s">
        <v>148</v>
      </c>
      <c r="B14" s="24"/>
      <c r="C14" s="24"/>
      <c r="D14" s="24"/>
      <c r="E14" s="25">
        <v>18130166</v>
      </c>
      <c r="F14" s="21" t="s">
        <v>149</v>
      </c>
    </row>
  </sheetData>
  <mergeCells count="3">
    <mergeCell ref="A1:F1"/>
    <mergeCell ref="A3:F3"/>
    <mergeCell ref="A14:D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 Deal Summary &amp; KPIs</vt:lpstr>
      <vt:lpstr>2. Existing Loan Portfolio</vt:lpstr>
      <vt:lpstr>3. Collateral &amp; LTV</vt:lpstr>
      <vt:lpstr>4. BT Benefit Analysis</vt:lpstr>
      <vt:lpstr>5. Parallel Tenure Matrix</vt:lpstr>
      <vt:lpstr>6. Underwriting &amp; Eligibility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SkyFinserv Financial Technologies</dc:creator>
  <cp:lastModifiedBy>Unknown</cp:lastModifiedBy>
  <dcterms:created xsi:type="dcterms:W3CDTF">2026-09-01T17:57:36Z</dcterms:created>
  <dcterms:modified xsi:type="dcterms:W3CDTF">2026-09-01T17:57:36Z</dcterms:modified>
</cp:coreProperties>
</file>
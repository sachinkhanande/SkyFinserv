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xisting Loans" state="visible" r:id="rId5"/>
    <sheet sheetId="3" name="Collateral &amp; LTV" state="visible" r:id="rId6"/>
    <sheet sheetId="4" name="BT Benefit Analysis" state="visible" r:id="rId7"/>
    <sheet sheetId="5" name="14M Horizon Comparison" state="visible" r:id="rId8"/>
    <sheet sheetId="6" name="Working Model (All-In-One)" state="visible" r:id="rId9"/>
  </sheets>
  <calcPr calcId="171027"/>
</workbook>
</file>

<file path=xl/sharedStrings.xml><?xml version="1.0" encoding="utf-8"?>
<sst xmlns="http://schemas.openxmlformats.org/spreadsheetml/2006/main" count="246" uniqueCount="147">
  <si>
    <t>SKYFINSERV FINANCIAL SERVICES — CREDIT APPRAISAL MEMORANDUM</t>
  </si>
  <si>
    <t>Case: Padia Imaging / Govind Padiya | Debt Consolidation, Balance Transfer &amp; Top-Up Evaluation</t>
  </si>
  <si>
    <t>Total Existing POS</t>
  </si>
  <si>
    <t>BT Takeover POS</t>
  </si>
  <si>
    <t>Property Collateral Eligibility</t>
  </si>
  <si>
    <t>Top-Up / In-Hand Surplus</t>
  </si>
  <si>
    <t>Monthly EMI Reduction</t>
  </si>
  <si>
    <t>1. BALANCE TRANSFER &amp; RESTRUCTURING PROPOSAL SUMMARY</t>
  </si>
  <si>
    <t>Parameter / Metric</t>
  </si>
  <si>
    <t>Existing Position</t>
  </si>
  <si>
    <t>Proposed Restructured Terms</t>
  </si>
  <si>
    <t>Net Advantage / Savings</t>
  </si>
  <si>
    <t>Strategic Notes</t>
  </si>
  <si>
    <t>Total Loan Facilities Count</t>
  </si>
  <si>
    <t>7 Loans Consolidated</t>
  </si>
  <si>
    <t>Reduces administrative burden</t>
  </si>
  <si>
    <t>Total Active Outstanding (POS)</t>
  </si>
  <si>
    <t>BOI CGTMSE retained; 7 high-cost loans cleared</t>
  </si>
  <si>
    <t>Balance Transfer Takeover Amount</t>
  </si>
  <si>
    <t>Full Takeover of 7 Loans</t>
  </si>
  <si>
    <t>HDFC, ICICI, Bajaj, LIC, HDB, L&amp;T, BOI Ed.</t>
  </si>
  <si>
    <t>Top-Up / Liquidity Surplus</t>
  </si>
  <si>
    <t>₹ 60,62,576 In-Hand Cash</t>
  </si>
  <si>
    <t>Working capital infusion for business</t>
  </si>
  <si>
    <t>Monthly EMI Outgo (BT Facilities)</t>
  </si>
  <si>
    <t>46.9% Monthly Cashflow Savings (₹3.92L/mo)</t>
  </si>
  <si>
    <t>Effective Interest Rate (Blended ROI)</t>
  </si>
  <si>
    <t>ROI reduction of 270 bps (from 10.85% to 8.15%)</t>
  </si>
  <si>
    <t>Proposed Loan Tenure</t>
  </si>
  <si>
    <t>27 - 80 Months</t>
  </si>
  <si>
    <t>180 Months (15 Yrs)</t>
  </si>
  <si>
    <t>Extended amortisation</t>
  </si>
  <si>
    <t>Reduces debt service burden drastically</t>
  </si>
  <si>
    <t>Total Foreclosure &amp; Switching Cost</t>
  </si>
  <si>
    <t>FC (₹10.32L) + PF &amp; Stamp (₹2.77L)</t>
  </si>
  <si>
    <t>Factored into overall deal structure</t>
  </si>
  <si>
    <t>Projected Net Financial Savings</t>
  </si>
  <si>
    <t>₹ 35,49,251 Net Savings</t>
  </si>
  <si>
    <t>Net interest saved over existing tenures</t>
  </si>
  <si>
    <t>2. PROPERTY COLLATERAL &amp; LTV VALUATION SUMMARY</t>
  </si>
  <si>
    <t>Property Identification</t>
  </si>
  <si>
    <t>Plot Area (sq.ft)</t>
  </si>
  <si>
    <t>Land Rate (₹/sqft)</t>
  </si>
  <si>
    <t>Construction (sq.ft)</t>
  </si>
  <si>
    <t>Market Value (₹)</t>
  </si>
  <si>
    <t>LTV %</t>
  </si>
  <si>
    <t>Eligible Loan (₹)</t>
  </si>
  <si>
    <t>Property 1 (Govind Padiya)</t>
  </si>
  <si>
    <t>Property 2 (Govind Padiya)</t>
  </si>
  <si>
    <t>Total Assessed Collateral</t>
  </si>
  <si>
    <t>EXISTING LOAN OBLIGATIONS &amp; BALANCE TRANSFER (BT) MATRIX</t>
  </si>
  <si>
    <t>Client: Padia Imaging / Govind Padiya | Live Portfolio Assessment &amp; Takeover Identification</t>
  </si>
  <si>
    <t>Sr</t>
  </si>
  <si>
    <t>Loan Belongs To</t>
  </si>
  <si>
    <t>Bank / Provider</t>
  </si>
  <si>
    <t>Facility Type</t>
  </si>
  <si>
    <t>Sanction Amount (₹)</t>
  </si>
  <si>
    <t>Tenure (M)</t>
  </si>
  <si>
    <t>Start Date</t>
  </si>
  <si>
    <t>EMIs Paid</t>
  </si>
  <si>
    <t>Monthly EMI (₹)</t>
  </si>
  <si>
    <t>Outstanding POS (₹)</t>
  </si>
  <si>
    <t>Obligation</t>
  </si>
  <si>
    <t>EMI Obligation (₹)</t>
  </si>
  <si>
    <t>Take Over</t>
  </si>
  <si>
    <t>BT EMI (₹)</t>
  </si>
  <si>
    <t>BT Amount (₹)</t>
  </si>
  <si>
    <t>Padia Imaging</t>
  </si>
  <si>
    <t>HDFC</t>
  </si>
  <si>
    <t>EQUIPMENT</t>
  </si>
  <si>
    <t>No</t>
  </si>
  <si>
    <t>Yes</t>
  </si>
  <si>
    <t>Bank of India</t>
  </si>
  <si>
    <t>CGTMSE</t>
  </si>
  <si>
    <t>—</t>
  </si>
  <si>
    <t>Govind Padiya</t>
  </si>
  <si>
    <t>ICICI Bank</t>
  </si>
  <si>
    <t>BL</t>
  </si>
  <si>
    <t>Bajaj</t>
  </si>
  <si>
    <t>Flexy OD</t>
  </si>
  <si>
    <t>LIC</t>
  </si>
  <si>
    <t>HL</t>
  </si>
  <si>
    <t>HDB</t>
  </si>
  <si>
    <t>LAP</t>
  </si>
  <si>
    <t>LNT</t>
  </si>
  <si>
    <t>Drop Line OD</t>
  </si>
  <si>
    <t>Govind Padiya (Rohan)</t>
  </si>
  <si>
    <t>BOI</t>
  </si>
  <si>
    <t>Education Loan</t>
  </si>
  <si>
    <t>Total</t>
  </si>
  <si>
    <t>PROPERTY COLLATERAL VALUATION &amp; LTV LOAN ELIGIBILITY MATRIX</t>
  </si>
  <si>
    <t>Property Description / Title</t>
  </si>
  <si>
    <t>Land Area (sq.ft)</t>
  </si>
  <si>
    <t>Land Value (₹)</t>
  </si>
  <si>
    <t>Built-Up Area (sq.ft)</t>
  </si>
  <si>
    <t>Const. Rate (₹/sqft)</t>
  </si>
  <si>
    <t>Const. Value (₹)</t>
  </si>
  <si>
    <t>Total Market Value (₹)</t>
  </si>
  <si>
    <t>LTV Cap %</t>
  </si>
  <si>
    <t>Eligible Loan Amount (₹)</t>
  </si>
  <si>
    <t>Property 1 — Govind Padiya (Plot + Construction)</t>
  </si>
  <si>
    <t>Property 2 — Govind Padiya (Prime Commercial Plot)</t>
  </si>
  <si>
    <t>Total Collateral Valuation &amp; Loan Limit</t>
  </si>
  <si>
    <t>BALANCE TRANSFER (BT) COST-BENEFIT &amp; INTEREST SAVINGS ANALYSIS</t>
  </si>
  <si>
    <t>Detailed facility-wise comparison factoring Foreclosure (FC) Charges and Processing Fees + Stamp Duty</t>
  </si>
  <si>
    <t>Lender</t>
  </si>
  <si>
    <t>Principal POS (₹)</t>
  </si>
  <si>
    <t>Existing ROI</t>
  </si>
  <si>
    <t>Existing EMI (₹)</t>
  </si>
  <si>
    <t>Existing Total Outgo (₹)</t>
  </si>
  <si>
    <t>Existing Total Interest (₹)</t>
  </si>
  <si>
    <t>FC %</t>
  </si>
  <si>
    <t>Foreclosure Charges (₹)</t>
  </si>
  <si>
    <t>Offered ROI</t>
  </si>
  <si>
    <t>Offered EMI (₹)</t>
  </si>
  <si>
    <t>Offered Total Outgo (₹)</t>
  </si>
  <si>
    <t>Offered Total Interest (₹)</t>
  </si>
  <si>
    <t>PF+Stamp %</t>
  </si>
  <si>
    <t>PF &amp; Stamp Duty (₹)</t>
  </si>
  <si>
    <t>Net Customer Benefit (₹)</t>
  </si>
  <si>
    <t>BOI (Edu)</t>
  </si>
  <si>
    <t>SHORT-TERM 14-MONTH HORIZON CASH-FLOW &amp; SWITCHING EXPENSES COMPARISON</t>
  </si>
  <si>
    <t>Comparing immediate 14-month cashflow reduction against switching costs (Foreclosure + Processing Fees)</t>
  </si>
  <si>
    <t>Horizon (M)</t>
  </si>
  <si>
    <t>Existing Total Pay (₹)</t>
  </si>
  <si>
    <t>Offered Total Pay (₹)</t>
  </si>
  <si>
    <t>Gross Savings (₹)</t>
  </si>
  <si>
    <t>Foreclosure (₹)</t>
  </si>
  <si>
    <t>PF &amp; Stamp (₹)</t>
  </si>
  <si>
    <t>Total Expenses (₹)</t>
  </si>
  <si>
    <t>SKYFINSERV CONSOLIDATED CREDIT WORKING MODEL</t>
  </si>
  <si>
    <t>Loan Provider</t>
  </si>
  <si>
    <t>Type</t>
  </si>
  <si>
    <t>EMI / Interest (₹)</t>
  </si>
  <si>
    <t>Outstanding Amount (₹)</t>
  </si>
  <si>
    <t>Area (sq.ft)</t>
  </si>
  <si>
    <t>Rate (₹)</t>
  </si>
  <si>
    <t>Total Value (₹)</t>
  </si>
  <si>
    <t>LTV</t>
  </si>
  <si>
    <t>Eligible Amount (₹)</t>
  </si>
  <si>
    <t>Total Property</t>
  </si>
  <si>
    <t>Comparison</t>
  </si>
  <si>
    <t>Eligibility Limit</t>
  </si>
  <si>
    <t>Take Over (POS)</t>
  </si>
  <si>
    <t>Surplus / In-Hand</t>
  </si>
  <si>
    <t>Loan Amount</t>
  </si>
  <si>
    <t>Monthly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</si>
</sst>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₹ #,##,##0"/>
    <numFmt numFmtId="165" formatCode="₹ #,##0"/>
    <numFmt numFmtId="166" formatCode="0.0%"/>
    <numFmt numFmtId="167" formatCode="DD-MMM-YYYY"/>
  </numFmts>
  <fonts count="14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i/>
      <color rgb="CBD5E1"/>
      <sz val="11"/>
      <name val="Calibri"/>
    </font>
    <font>
      <b/>
      <color rgb="64748B"/>
      <sz val="9"/>
      <name val="Calibri"/>
    </font>
    <font>
      <b/>
      <color rgb="1E3A8A"/>
      <sz val="13"/>
      <name val="Calibri"/>
    </font>
    <font>
      <b/>
      <color rgb="065F46"/>
      <sz val="13"/>
      <name val="Calibri"/>
    </font>
    <font>
      <b/>
      <color rgb="92400E"/>
      <sz val="13"/>
      <name val="Calibri"/>
    </font>
    <font>
      <b/>
      <color rgb="1E3A8A"/>
      <sz val="12"/>
      <name val="Calibri"/>
    </font>
    <font>
      <b/>
      <color rgb="FFFFFF"/>
      <sz val="11"/>
      <name val="Calibri"/>
    </font>
    <font>
      <b/>
      <sz val="11"/>
      <name val="Calibri"/>
    </font>
    <font>
      <i/>
      <color rgb="475569"/>
      <sz val="11"/>
      <name val="Calibri"/>
    </font>
    <font>
      <b/>
      <color rgb="059669"/>
      <sz val="11"/>
      <name val="Calibri"/>
    </font>
    <font>
      <b/>
      <color rgb="0D1B2A"/>
      <sz val="16"/>
      <name val="Calibri"/>
    </font>
    <font>
      <b/>
      <color rgb="065F4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0D1B2A"/>
      </patternFill>
    </fill>
    <fill>
      <patternFill patternType="solid">
        <fgColor rgb="1A2E45"/>
      </patternFill>
    </fill>
    <fill>
      <patternFill patternType="solid">
        <fgColor rgb="EFF6FF"/>
      </patternFill>
    </fill>
    <fill>
      <patternFill patternType="solid">
        <fgColor rgb="ECFDF5"/>
      </patternFill>
    </fill>
    <fill>
      <patternFill patternType="solid">
        <fgColor rgb="FEF3C7"/>
      </patternFill>
    </fill>
    <fill>
      <patternFill patternType="solid">
        <fgColor rgb="1E3A8A"/>
      </patternFill>
    </fill>
    <fill>
      <patternFill patternType="solid">
        <fgColor rgb="F1F5F9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thin">
        <color rgb="1E293B"/>
      </top>
      <bottom style="double">
        <color rgb="1E293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0" borderId="0" xfId="0" applyFont="1"/>
    <xf numFmtId="0" fontId="8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9" fillId="0" borderId="1" xfId="0" applyFont="1" applyBorder="1"/>
    <xf numFmtId="0" fontId="0" fillId="0" borderId="1" xfId="0" applyBorder="1"/>
    <xf numFmtId="0" fontId="10" fillId="0" borderId="1" xfId="0" applyFont="1" applyBorder="1"/>
    <xf numFmtId="0" fontId="9" fillId="8" borderId="1" xfId="0" applyFont="1" applyFill="1" applyBorder="1"/>
    <xf numFmtId="164" fontId="0" fillId="8" borderId="1" xfId="0" applyNumberFormat="1" applyFill="1" applyBorder="1"/>
    <xf numFmtId="164" fontId="11" fillId="8" borderId="1" xfId="0" applyNumberFormat="1" applyFont="1" applyFill="1" applyBorder="1"/>
    <xf numFmtId="0" fontId="10" fillId="8" borderId="1" xfId="0" applyFont="1" applyFill="1" applyBorder="1"/>
    <xf numFmtId="164" fontId="0" fillId="0" borderId="1" xfId="0" applyNumberFormat="1" applyBorder="1"/>
    <xf numFmtId="0" fontId="0" fillId="8" borderId="1" xfId="0" applyFill="1" applyBorder="1"/>
    <xf numFmtId="164" fontId="11" fillId="0" borderId="1" xfId="0" applyNumberFormat="1" applyFont="1" applyBorder="1"/>
    <xf numFmtId="10" fontId="0" fillId="8" borderId="1" xfId="0" applyNumberFormat="1" applyFill="1" applyBorder="1"/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9" fillId="0" borderId="2" xfId="0" applyFont="1" applyBorder="1"/>
    <xf numFmtId="0" fontId="0" fillId="0" borderId="2" xfId="0" applyBorder="1"/>
    <xf numFmtId="164" fontId="9" fillId="0" borderId="2" xfId="0" applyNumberFormat="1" applyFont="1" applyBorder="1"/>
    <xf numFmtId="164" fontId="9" fillId="5" borderId="2" xfId="0" applyNumberFormat="1" applyFont="1" applyFill="1" applyBorder="1"/>
    <xf numFmtId="0" fontId="12" fillId="0" borderId="0" xfId="0" applyFont="1" applyAlignment="1">
      <alignment horizontal="left" vertical="center"/>
    </xf>
    <xf numFmtId="0" fontId="10" fillId="0" borderId="0" xfId="0" applyFont="1"/>
    <xf numFmtId="0" fontId="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  <xf numFmtId="0" fontId="12" fillId="0" borderId="0" xfId="0" applyFont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 applyAlignment="1">
      <alignment horizontal="center"/>
    </xf>
    <xf numFmtId="3" fontId="0" fillId="8" borderId="1" xfId="0" applyNumberFormat="1" applyFill="1" applyBorder="1"/>
    <xf numFmtId="165" fontId="0" fillId="8" borderId="1" xfId="0" applyNumberFormat="1" applyFill="1" applyBorder="1"/>
    <xf numFmtId="166" fontId="0" fillId="8" borderId="1" xfId="0" applyNumberFormat="1" applyFill="1" applyBorder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0" fillId="8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64" fontId="13" fillId="5" borderId="2" xfId="0" applyNumberFormat="1" applyFont="1" applyFill="1" applyBorder="1"/>
    <xf numFmtId="0" fontId="8" fillId="2" borderId="0" xfId="0" applyFont="1" applyFill="1" applyAlignment="1">
      <alignment horizontal="center" vertical="center"/>
    </xf>
    <xf numFmtId="166" fontId="0" fillId="0" borderId="1" xfId="0" applyNumberFormat="1" applyBorder="1"/>
    <xf numFmtId="0" fontId="8" fillId="7" borderId="0" xfId="0" applyFont="1" applyFill="1" applyAlignment="1">
      <alignment horizontal="center"/>
    </xf>
    <xf numFmtId="164" fontId="9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A623"/>
  </sheetPr>
  <dimension ref="B2:H24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4" width="22" customWidth="1"/>
    <col min="5" max="5" width="25" customWidth="1"/>
    <col min="6" max="6" width="30" customWidth="1"/>
  </cols>
  <sheetData>
    <row r="2" ht="30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18" customHeight="1" spans="2:6" x14ac:dyDescent="0.25">
      <c r="B5" s="3" t="s">
        <v>2</v>
      </c>
      <c r="C5" s="3" t="s">
        <v>3</v>
      </c>
      <c r="D5" s="4" t="s">
        <v>4</v>
      </c>
      <c r="E5" s="5" t="s">
        <v>5</v>
      </c>
      <c r="F5" s="4" t="s">
        <v>6</v>
      </c>
    </row>
    <row r="6" ht="26" customHeight="1" spans="2:6" x14ac:dyDescent="0.25">
      <c r="B6" s="6">
        <v>68001823</v>
      </c>
      <c r="C6" s="6">
        <v>38937424</v>
      </c>
      <c r="D6" s="7">
        <v>44360750</v>
      </c>
      <c r="E6" s="8">
        <v>6062576</v>
      </c>
      <c r="F6" s="7">
        <v>391984</v>
      </c>
    </row>
    <row r="8" ht="24" customHeight="1" spans="2:2" x14ac:dyDescent="0.25">
      <c r="B8" s="9" t="s">
        <v>7</v>
      </c>
    </row>
    <row r="9" ht="24" customHeight="1" spans="2:6" x14ac:dyDescent="0.25">
      <c r="B9" s="10" t="s">
        <v>8</v>
      </c>
      <c r="C9" s="11" t="s">
        <v>9</v>
      </c>
      <c r="D9" s="11" t="s">
        <v>10</v>
      </c>
      <c r="E9" s="11" t="s">
        <v>11</v>
      </c>
      <c r="F9" s="11" t="s">
        <v>12</v>
      </c>
    </row>
    <row r="10" ht="20" customHeight="1" spans="2:6" x14ac:dyDescent="0.25">
      <c r="B10" s="12" t="s">
        <v>13</v>
      </c>
      <c r="C10" s="13">
        <v>8</v>
      </c>
      <c r="D10" s="13">
        <v>1</v>
      </c>
      <c r="E10" s="13" t="s">
        <v>14</v>
      </c>
      <c r="F10" s="14" t="s">
        <v>15</v>
      </c>
    </row>
    <row r="11" ht="20" customHeight="1" spans="2:6" x14ac:dyDescent="0.25">
      <c r="B11" s="15" t="s">
        <v>16</v>
      </c>
      <c r="C11" s="16">
        <v>68001823</v>
      </c>
      <c r="D11" s="16">
        <v>45000000</v>
      </c>
      <c r="E11" s="17">
        <v>23001823</v>
      </c>
      <c r="F11" s="18" t="s">
        <v>17</v>
      </c>
    </row>
    <row r="12" ht="20" customHeight="1" spans="2:6" x14ac:dyDescent="0.25">
      <c r="B12" s="12" t="s">
        <v>18</v>
      </c>
      <c r="C12" s="19">
        <v>38937424</v>
      </c>
      <c r="D12" s="19">
        <v>38937424</v>
      </c>
      <c r="E12" s="13" t="s">
        <v>19</v>
      </c>
      <c r="F12" s="14" t="s">
        <v>20</v>
      </c>
    </row>
    <row r="13" ht="20" customHeight="1" spans="2:6" x14ac:dyDescent="0.25">
      <c r="B13" s="15" t="s">
        <v>21</v>
      </c>
      <c r="C13" s="20">
        <v>0</v>
      </c>
      <c r="D13" s="16">
        <v>6062576</v>
      </c>
      <c r="E13" s="20" t="s">
        <v>22</v>
      </c>
      <c r="F13" s="18" t="s">
        <v>23</v>
      </c>
    </row>
    <row r="14" ht="20" customHeight="1" spans="2:6" x14ac:dyDescent="0.25">
      <c r="B14" s="12" t="s">
        <v>24</v>
      </c>
      <c r="C14" s="19">
        <v>835234</v>
      </c>
      <c r="D14" s="19">
        <v>443250</v>
      </c>
      <c r="E14" s="21">
        <v>391984</v>
      </c>
      <c r="F14" s="14" t="s">
        <v>25</v>
      </c>
    </row>
    <row r="15" ht="20" customHeight="1" spans="2:6" x14ac:dyDescent="0.25">
      <c r="B15" s="15" t="s">
        <v>26</v>
      </c>
      <c r="C15" s="22">
        <v>0.1085</v>
      </c>
      <c r="D15" s="22">
        <v>0.0815</v>
      </c>
      <c r="E15" s="22">
        <v>0.027</v>
      </c>
      <c r="F15" s="18" t="s">
        <v>27</v>
      </c>
    </row>
    <row r="16" ht="20" customHeight="1" spans="2:6" x14ac:dyDescent="0.25">
      <c r="B16" s="12" t="s">
        <v>28</v>
      </c>
      <c r="C16" s="13" t="s">
        <v>29</v>
      </c>
      <c r="D16" s="13" t="s">
        <v>30</v>
      </c>
      <c r="E16" s="13" t="s">
        <v>31</v>
      </c>
      <c r="F16" s="14" t="s">
        <v>32</v>
      </c>
    </row>
    <row r="17" ht="20" customHeight="1" spans="2:6" x14ac:dyDescent="0.25">
      <c r="B17" s="15" t="s">
        <v>33</v>
      </c>
      <c r="C17" s="20">
        <v>0</v>
      </c>
      <c r="D17" s="16">
        <v>1309451</v>
      </c>
      <c r="E17" s="20" t="s">
        <v>34</v>
      </c>
      <c r="F17" s="18" t="s">
        <v>35</v>
      </c>
    </row>
    <row r="18" ht="20" customHeight="1" spans="2:6" x14ac:dyDescent="0.25">
      <c r="B18" s="12" t="s">
        <v>36</v>
      </c>
      <c r="C18" s="13">
        <v>0</v>
      </c>
      <c r="D18" s="19">
        <v>3549251</v>
      </c>
      <c r="E18" s="13" t="s">
        <v>37</v>
      </c>
      <c r="F18" s="14" t="s">
        <v>38</v>
      </c>
    </row>
    <row r="20" ht="24" customHeight="1" spans="2:2" x14ac:dyDescent="0.25">
      <c r="B20" s="9" t="s">
        <v>39</v>
      </c>
    </row>
    <row r="21" ht="22" customHeight="1" spans="2:8" x14ac:dyDescent="0.25">
      <c r="B21" s="11" t="s">
        <v>40</v>
      </c>
      <c r="C21" s="11" t="s">
        <v>41</v>
      </c>
      <c r="D21" s="11" t="s">
        <v>42</v>
      </c>
      <c r="E21" s="11" t="s">
        <v>43</v>
      </c>
      <c r="F21" s="11" t="s">
        <v>44</v>
      </c>
      <c r="G21" s="11" t="s">
        <v>45</v>
      </c>
      <c r="H21" s="11" t="s">
        <v>46</v>
      </c>
    </row>
    <row r="22" ht="20" customHeight="1" spans="2:8" x14ac:dyDescent="0.25">
      <c r="B22" s="23" t="s">
        <v>47</v>
      </c>
      <c r="C22" s="24">
        <v>1830</v>
      </c>
      <c r="D22" s="25">
        <v>12000</v>
      </c>
      <c r="E22" s="24">
        <v>1565</v>
      </c>
      <c r="F22" s="26">
        <v>25872500</v>
      </c>
      <c r="G22" s="27">
        <v>0.7</v>
      </c>
      <c r="H22" s="26">
        <v>18110750</v>
      </c>
    </row>
    <row r="23" ht="20" customHeight="1" spans="2:8" x14ac:dyDescent="0.25">
      <c r="B23" s="23" t="s">
        <v>48</v>
      </c>
      <c r="C23" s="24">
        <v>1500</v>
      </c>
      <c r="D23" s="25">
        <v>25000</v>
      </c>
      <c r="E23" s="24">
        <v>0</v>
      </c>
      <c r="F23" s="26">
        <v>37500000</v>
      </c>
      <c r="G23" s="27">
        <v>0.7</v>
      </c>
      <c r="H23" s="26">
        <v>26250000</v>
      </c>
    </row>
    <row r="24" ht="22" customHeight="1" spans="2:8" x14ac:dyDescent="0.25">
      <c r="B24" s="28" t="s">
        <v>49</v>
      </c>
      <c r="C24" s="29"/>
      <c r="D24" s="29"/>
      <c r="E24" s="29"/>
      <c r="F24" s="30">
        <f>SUM(F22:F23)</f>
        <v>63372500</v>
      </c>
      <c r="G24" s="29"/>
      <c r="H24" s="31">
        <f>SUM(H22:H23)</f>
        <v>44360750</v>
      </c>
    </row>
  </sheetData>
  <mergeCells count="2">
    <mergeCell ref="B2:F2"/>
    <mergeCell ref="B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O13"/>
  <sheetViews>
    <sheetView workbookViewId="0"/>
  </sheetViews>
  <sheetFormatPr defaultRowHeight="15" outlineLevelRow="0" outlineLevelCol="0" x14ac:dyDescent="55"/>
  <cols>
    <col min="1" max="1" width="5" customWidth="1"/>
    <col min="2" max="2" width="22" customWidth="1"/>
    <col min="3" max="5" width="16" customWidth="1"/>
    <col min="6" max="6" width="12" customWidth="1"/>
    <col min="7" max="7" width="14" customWidth="1"/>
    <col min="8" max="8" width="12" customWidth="1"/>
    <col min="9" max="9" width="15" customWidth="1"/>
    <col min="10" max="10" width="18" customWidth="1"/>
    <col min="11" max="11" width="12" customWidth="1"/>
    <col min="12" max="12" width="15" customWidth="1"/>
    <col min="13" max="13" width="12" customWidth="1"/>
    <col min="14" max="14" width="15" customWidth="1"/>
    <col min="15" max="15" width="18" customWidth="1"/>
  </cols>
  <sheetData>
    <row r="1" ht="28" customHeight="1" spans="1:15" x14ac:dyDescent="0.25">
      <c r="A1" s="32" t="s">
        <v>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ht="18" customHeight="1" spans="1:15" x14ac:dyDescent="0.25">
      <c r="A2" s="33" t="s">
        <v>51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4" ht="28" customHeight="1" spans="1:15" x14ac:dyDescent="0.25">
      <c r="A4" s="34" t="s">
        <v>52</v>
      </c>
      <c r="B4" s="34" t="s">
        <v>53</v>
      </c>
      <c r="C4" s="34" t="s">
        <v>54</v>
      </c>
      <c r="D4" s="34" t="s">
        <v>55</v>
      </c>
      <c r="E4" s="34" t="s">
        <v>56</v>
      </c>
      <c r="F4" s="34" t="s">
        <v>57</v>
      </c>
      <c r="G4" s="34" t="s">
        <v>58</v>
      </c>
      <c r="H4" s="34" t="s">
        <v>59</v>
      </c>
      <c r="I4" s="34" t="s">
        <v>60</v>
      </c>
      <c r="J4" s="34" t="s">
        <v>61</v>
      </c>
      <c r="K4" s="34" t="s">
        <v>62</v>
      </c>
      <c r="L4" s="34" t="s">
        <v>63</v>
      </c>
      <c r="M4" s="34" t="s">
        <v>64</v>
      </c>
      <c r="N4" s="34" t="s">
        <v>65</v>
      </c>
      <c r="O4" s="34" t="s">
        <v>66</v>
      </c>
    </row>
    <row r="5" ht="20" customHeight="1" spans="1:15" x14ac:dyDescent="0.25">
      <c r="A5" s="35">
        <v>1</v>
      </c>
      <c r="B5" s="13" t="s">
        <v>67</v>
      </c>
      <c r="C5" s="13" t="s">
        <v>68</v>
      </c>
      <c r="D5" s="13" t="s">
        <v>69</v>
      </c>
      <c r="E5" s="19">
        <v>13257000</v>
      </c>
      <c r="F5" s="35">
        <v>90</v>
      </c>
      <c r="G5" s="36">
        <v>44695.77083333333</v>
      </c>
      <c r="H5" s="35">
        <v>45</v>
      </c>
      <c r="I5" s="19">
        <v>208282</v>
      </c>
      <c r="J5" s="19">
        <v>5567405</v>
      </c>
      <c r="K5" s="35" t="s">
        <v>70</v>
      </c>
      <c r="L5" s="19">
        <f>IF(UPPER(K5)="YES",I5,0)</f>
        <v>0</v>
      </c>
      <c r="M5" s="37" t="s">
        <v>71</v>
      </c>
      <c r="N5" s="19">
        <f>IF(UPPER(M5)="YES",I5,0)</f>
        <v>208282</v>
      </c>
      <c r="O5" s="19">
        <f>IF(UPPER(M5)="YES",J5,0)</f>
        <v>5567405</v>
      </c>
    </row>
    <row r="6" ht="20" customHeight="1" spans="1:15" x14ac:dyDescent="0.25">
      <c r="A6" s="38">
        <v>2</v>
      </c>
      <c r="B6" s="20" t="s">
        <v>67</v>
      </c>
      <c r="C6" s="20" t="s">
        <v>72</v>
      </c>
      <c r="D6" s="20" t="s">
        <v>73</v>
      </c>
      <c r="E6" s="16">
        <v>32700000</v>
      </c>
      <c r="F6" s="38" t="s">
        <v>74</v>
      </c>
      <c r="G6" s="39">
        <v>45405.77083333333</v>
      </c>
      <c r="H6" s="38" t="s">
        <v>74</v>
      </c>
      <c r="I6" s="16">
        <v>500000</v>
      </c>
      <c r="J6" s="16">
        <v>29064399</v>
      </c>
      <c r="K6" s="38" t="s">
        <v>70</v>
      </c>
      <c r="L6" s="16">
        <f>IF(UPPER(K6)="YES",I6,0)</f>
        <v>0</v>
      </c>
      <c r="M6" s="38" t="s">
        <v>70</v>
      </c>
      <c r="N6" s="16">
        <f>IF(UPPER(M6)="YES",I6,0)</f>
        <v>0</v>
      </c>
      <c r="O6" s="16">
        <f>IF(UPPER(M6)="YES",J6,0)</f>
        <v>0</v>
      </c>
    </row>
    <row r="7" ht="20" customHeight="1" spans="1:15" x14ac:dyDescent="0.25">
      <c r="A7" s="35">
        <v>3</v>
      </c>
      <c r="B7" s="13" t="s">
        <v>75</v>
      </c>
      <c r="C7" s="13" t="s">
        <v>76</v>
      </c>
      <c r="D7" s="13" t="s">
        <v>77</v>
      </c>
      <c r="E7" s="19">
        <v>6000000</v>
      </c>
      <c r="F7" s="35">
        <v>60</v>
      </c>
      <c r="G7" s="36">
        <v>45050.77083333333</v>
      </c>
      <c r="H7" s="35">
        <v>33</v>
      </c>
      <c r="I7" s="19">
        <v>128702</v>
      </c>
      <c r="J7" s="19">
        <v>3189332</v>
      </c>
      <c r="K7" s="35" t="s">
        <v>70</v>
      </c>
      <c r="L7" s="19">
        <f>IF(UPPER(K7)="YES",I7,0)</f>
        <v>0</v>
      </c>
      <c r="M7" s="37" t="s">
        <v>71</v>
      </c>
      <c r="N7" s="19">
        <f>IF(UPPER(M7)="YES",I7,0)</f>
        <v>128702</v>
      </c>
      <c r="O7" s="19">
        <f>IF(UPPER(M7)="YES",J7,0)</f>
        <v>3189332</v>
      </c>
    </row>
    <row r="8" ht="20" customHeight="1" spans="1:15" x14ac:dyDescent="0.25">
      <c r="A8" s="38">
        <v>4</v>
      </c>
      <c r="B8" s="20" t="s">
        <v>75</v>
      </c>
      <c r="C8" s="20" t="s">
        <v>78</v>
      </c>
      <c r="D8" s="20" t="s">
        <v>79</v>
      </c>
      <c r="E8" s="16">
        <v>6081559</v>
      </c>
      <c r="F8" s="38">
        <v>96</v>
      </c>
      <c r="G8" s="39">
        <v>45566.77083333333</v>
      </c>
      <c r="H8" s="38">
        <v>27</v>
      </c>
      <c r="I8" s="16">
        <v>69685</v>
      </c>
      <c r="J8" s="16">
        <v>6081559</v>
      </c>
      <c r="K8" s="38" t="s">
        <v>70</v>
      </c>
      <c r="L8" s="16">
        <f>IF(UPPER(K8)="YES",I8,0)</f>
        <v>0</v>
      </c>
      <c r="M8" s="37" t="s">
        <v>71</v>
      </c>
      <c r="N8" s="16">
        <f>IF(UPPER(M8)="YES",I8,0)</f>
        <v>69685</v>
      </c>
      <c r="O8" s="16">
        <f>IF(UPPER(M8)="YES",J8,0)</f>
        <v>6081559</v>
      </c>
    </row>
    <row r="9" ht="20" customHeight="1" spans="1:15" x14ac:dyDescent="0.25">
      <c r="A9" s="35">
        <v>5</v>
      </c>
      <c r="B9" s="13" t="s">
        <v>75</v>
      </c>
      <c r="C9" s="13" t="s">
        <v>80</v>
      </c>
      <c r="D9" s="13" t="s">
        <v>81</v>
      </c>
      <c r="E9" s="19">
        <v>7900000</v>
      </c>
      <c r="F9" s="35">
        <v>133</v>
      </c>
      <c r="G9" s="36">
        <v>44330.77083333333</v>
      </c>
      <c r="H9" s="35">
        <v>57</v>
      </c>
      <c r="I9" s="19">
        <v>90716</v>
      </c>
      <c r="J9" s="19">
        <v>5194122</v>
      </c>
      <c r="K9" s="35" t="s">
        <v>70</v>
      </c>
      <c r="L9" s="19">
        <f>IF(UPPER(K9)="YES",I9,0)</f>
        <v>0</v>
      </c>
      <c r="M9" s="37" t="s">
        <v>71</v>
      </c>
      <c r="N9" s="19">
        <f>IF(UPPER(M9)="YES",I9,0)</f>
        <v>90716</v>
      </c>
      <c r="O9" s="19">
        <f>IF(UPPER(M9)="YES",J9,0)</f>
        <v>5194122</v>
      </c>
    </row>
    <row r="10" ht="20" customHeight="1" spans="1:15" x14ac:dyDescent="0.25">
      <c r="A10" s="38">
        <v>6</v>
      </c>
      <c r="B10" s="20" t="s">
        <v>75</v>
      </c>
      <c r="C10" s="20" t="s">
        <v>82</v>
      </c>
      <c r="D10" s="20" t="s">
        <v>83</v>
      </c>
      <c r="E10" s="16">
        <v>17800000</v>
      </c>
      <c r="F10" s="38">
        <v>108</v>
      </c>
      <c r="G10" s="39">
        <v>45165.77083333333</v>
      </c>
      <c r="H10" s="38">
        <v>28</v>
      </c>
      <c r="I10" s="16">
        <v>245809</v>
      </c>
      <c r="J10" s="16">
        <v>14524298</v>
      </c>
      <c r="K10" s="38" t="s">
        <v>70</v>
      </c>
      <c r="L10" s="16">
        <f>IF(UPPER(K10)="YES",I10,0)</f>
        <v>0</v>
      </c>
      <c r="M10" s="37" t="s">
        <v>71</v>
      </c>
      <c r="N10" s="16">
        <f>IF(UPPER(M10)="YES",I10,0)</f>
        <v>245809</v>
      </c>
      <c r="O10" s="16">
        <f>IF(UPPER(M10)="YES",J10,0)</f>
        <v>14524298</v>
      </c>
    </row>
    <row r="11" ht="20" customHeight="1" spans="1:15" x14ac:dyDescent="0.25">
      <c r="A11" s="35">
        <v>7</v>
      </c>
      <c r="B11" s="13" t="s">
        <v>75</v>
      </c>
      <c r="C11" s="13" t="s">
        <v>84</v>
      </c>
      <c r="D11" s="13" t="s">
        <v>85</v>
      </c>
      <c r="E11" s="19">
        <v>2000000</v>
      </c>
      <c r="F11" s="35" t="s">
        <v>74</v>
      </c>
      <c r="G11" s="36">
        <v>45835.77083333333</v>
      </c>
      <c r="H11" s="35" t="s">
        <v>74</v>
      </c>
      <c r="I11" s="19">
        <v>67040</v>
      </c>
      <c r="J11" s="19">
        <v>1720065</v>
      </c>
      <c r="K11" s="35" t="s">
        <v>70</v>
      </c>
      <c r="L11" s="19">
        <f>IF(UPPER(K11)="YES",I11,0)</f>
        <v>0</v>
      </c>
      <c r="M11" s="37" t="s">
        <v>71</v>
      </c>
      <c r="N11" s="19">
        <f>IF(UPPER(M11)="YES",I11,0)</f>
        <v>67040</v>
      </c>
      <c r="O11" s="19">
        <f>IF(UPPER(M11)="YES",J11,0)</f>
        <v>1720065</v>
      </c>
    </row>
    <row r="12" ht="20" customHeight="1" spans="1:15" x14ac:dyDescent="0.25">
      <c r="A12" s="38">
        <v>8</v>
      </c>
      <c r="B12" s="20" t="s">
        <v>86</v>
      </c>
      <c r="C12" s="20" t="s">
        <v>87</v>
      </c>
      <c r="D12" s="20" t="s">
        <v>88</v>
      </c>
      <c r="E12" s="16">
        <v>2500000</v>
      </c>
      <c r="F12" s="38" t="s">
        <v>74</v>
      </c>
      <c r="G12" s="39">
        <v>45543.77083333333</v>
      </c>
      <c r="H12" s="38" t="s">
        <v>74</v>
      </c>
      <c r="I12" s="16">
        <v>25000</v>
      </c>
      <c r="J12" s="16">
        <v>2660643</v>
      </c>
      <c r="K12" s="38" t="s">
        <v>70</v>
      </c>
      <c r="L12" s="16">
        <f>IF(UPPER(K12)="YES",I12,0)</f>
        <v>0</v>
      </c>
      <c r="M12" s="37" t="s">
        <v>71</v>
      </c>
      <c r="N12" s="16">
        <f>IF(UPPER(M12)="YES",I12,0)</f>
        <v>25000</v>
      </c>
      <c r="O12" s="16">
        <f>IF(UPPER(M12)="YES",J12,0)</f>
        <v>2660643</v>
      </c>
    </row>
    <row r="13" ht="24" customHeight="1" spans="1:15" x14ac:dyDescent="0.25">
      <c r="A13" s="28" t="s">
        <v>89</v>
      </c>
      <c r="B13" s="29"/>
      <c r="C13" s="29"/>
      <c r="D13" s="29"/>
      <c r="E13" s="30">
        <f>SUM(E5:E12)</f>
        <v>88238559</v>
      </c>
      <c r="F13" s="29"/>
      <c r="G13" s="29"/>
      <c r="H13" s="29"/>
      <c r="I13" s="30">
        <f>SUM(I5:I12)</f>
        <v>1335234</v>
      </c>
      <c r="J13" s="30">
        <f>SUM(J5:J12)</f>
        <v>68001823</v>
      </c>
      <c r="K13" s="29"/>
      <c r="L13" s="30">
        <f>SUM(L5:L12)</f>
        <v>0</v>
      </c>
      <c r="M13" s="29"/>
      <c r="N13" s="30">
        <f>SUM(N5:N12)</f>
        <v>835234</v>
      </c>
      <c r="O13" s="31">
        <f>SUM(O5:O12)</f>
        <v>38937424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</sheetPr>
  <dimension ref="A1:K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4" width="16" customWidth="1"/>
    <col min="5" max="8" width="18" customWidth="1"/>
    <col min="9" max="9" width="20" customWidth="1"/>
    <col min="10" max="10" width="12" customWidth="1"/>
    <col min="11" max="11" width="22" customWidth="1"/>
  </cols>
  <sheetData>
    <row r="1" ht="28" customHeight="1" spans="1:11" x14ac:dyDescent="0.25">
      <c r="A1" s="40" t="s">
        <v>90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ht="28" customHeight="1" spans="1:11" x14ac:dyDescent="0.25">
      <c r="A3" s="34" t="s">
        <v>52</v>
      </c>
      <c r="B3" s="34" t="s">
        <v>91</v>
      </c>
      <c r="C3" s="34" t="s">
        <v>92</v>
      </c>
      <c r="D3" s="34" t="s">
        <v>42</v>
      </c>
      <c r="E3" s="34" t="s">
        <v>93</v>
      </c>
      <c r="F3" s="34" t="s">
        <v>94</v>
      </c>
      <c r="G3" s="34" t="s">
        <v>95</v>
      </c>
      <c r="H3" s="34" t="s">
        <v>96</v>
      </c>
      <c r="I3" s="34" t="s">
        <v>97</v>
      </c>
      <c r="J3" s="34" t="s">
        <v>98</v>
      </c>
      <c r="K3" s="34" t="s">
        <v>99</v>
      </c>
    </row>
    <row r="4" ht="22" customHeight="1" spans="1:11" x14ac:dyDescent="0.25">
      <c r="A4" s="35">
        <v>1</v>
      </c>
      <c r="B4" s="13" t="s">
        <v>100</v>
      </c>
      <c r="C4" s="41">
        <v>1830</v>
      </c>
      <c r="D4" s="42">
        <v>12000</v>
      </c>
      <c r="E4" s="19">
        <f>C4*D4</f>
        <v>21960000</v>
      </c>
      <c r="F4" s="41">
        <v>1565</v>
      </c>
      <c r="G4" s="42">
        <v>2500</v>
      </c>
      <c r="H4" s="19">
        <f>F4*G4</f>
        <v>3912500</v>
      </c>
      <c r="I4" s="19">
        <f>E4+H4</f>
        <v>25872500</v>
      </c>
      <c r="J4" s="43">
        <v>0.7</v>
      </c>
      <c r="K4" s="19">
        <f>I4*J4</f>
        <v>18110750</v>
      </c>
    </row>
    <row r="5" ht="22" customHeight="1" spans="1:11" x14ac:dyDescent="0.25">
      <c r="A5" s="38">
        <v>2</v>
      </c>
      <c r="B5" s="20" t="s">
        <v>101</v>
      </c>
      <c r="C5" s="44">
        <v>1500</v>
      </c>
      <c r="D5" s="45">
        <v>25000</v>
      </c>
      <c r="E5" s="16">
        <f>C5*D5</f>
        <v>37500000</v>
      </c>
      <c r="F5" s="44">
        <v>0</v>
      </c>
      <c r="G5" s="45">
        <v>0</v>
      </c>
      <c r="H5" s="16">
        <f>F5*G5</f>
        <v>0</v>
      </c>
      <c r="I5" s="16">
        <f>E5+H5</f>
        <v>37500000</v>
      </c>
      <c r="J5" s="46">
        <v>0.7</v>
      </c>
      <c r="K5" s="16">
        <f>I5*J5</f>
        <v>26250000</v>
      </c>
    </row>
    <row r="6" ht="24" customHeight="1" spans="1:11" x14ac:dyDescent="0.25">
      <c r="A6" s="29"/>
      <c r="B6" s="28" t="s">
        <v>102</v>
      </c>
      <c r="C6" s="29"/>
      <c r="D6" s="29"/>
      <c r="E6" s="30">
        <f>SUM(E4:E5)</f>
        <v>59460000</v>
      </c>
      <c r="F6" s="29"/>
      <c r="G6" s="29"/>
      <c r="H6" s="30">
        <f>SUM(H4:H5)</f>
        <v>3912500</v>
      </c>
      <c r="I6" s="30">
        <f>SUM(I4:I5)</f>
        <v>63372500</v>
      </c>
      <c r="J6" s="29"/>
      <c r="K6" s="31">
        <f>SUM(K4:K5)</f>
        <v>44360750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333EA"/>
  </sheetPr>
  <dimension ref="A1:P12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13" customWidth="1"/>
    <col min="4" max="4" width="15" customWidth="1"/>
    <col min="5" max="5" width="12" customWidth="1"/>
    <col min="6" max="6" width="17" customWidth="1"/>
    <col min="7" max="7" width="16" customWidth="1"/>
    <col min="8" max="8" width="10" customWidth="1"/>
    <col min="9" max="9" width="14" customWidth="1"/>
    <col min="10" max="10" width="13" customWidth="1"/>
    <col min="11" max="11" width="15" customWidth="1"/>
    <col min="12" max="12" width="17" customWidth="1"/>
    <col min="13" max="13" width="16" customWidth="1"/>
    <col min="14" max="14" width="12" customWidth="1"/>
    <col min="15" max="15" width="14" customWidth="1"/>
    <col min="16" max="16" width="18" customWidth="1"/>
  </cols>
  <sheetData>
    <row r="1" ht="28" customHeight="1" spans="1:16" x14ac:dyDescent="0.25">
      <c r="A1" s="40" t="s">
        <v>103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ht="18" customHeight="1" spans="1:16" x14ac:dyDescent="0.25">
      <c r="A2" s="33" t="s">
        <v>104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4" ht="28" customHeight="1" spans="1:16" x14ac:dyDescent="0.25">
      <c r="A4" s="47" t="s">
        <v>105</v>
      </c>
      <c r="B4" s="47" t="s">
        <v>106</v>
      </c>
      <c r="C4" s="47" t="s">
        <v>107</v>
      </c>
      <c r="D4" s="47" t="s">
        <v>108</v>
      </c>
      <c r="E4" s="47" t="s">
        <v>57</v>
      </c>
      <c r="F4" s="47" t="s">
        <v>109</v>
      </c>
      <c r="G4" s="47" t="s">
        <v>110</v>
      </c>
      <c r="H4" s="47" t="s">
        <v>111</v>
      </c>
      <c r="I4" s="47" t="s">
        <v>112</v>
      </c>
      <c r="J4" s="47" t="s">
        <v>113</v>
      </c>
      <c r="K4" s="47" t="s">
        <v>114</v>
      </c>
      <c r="L4" s="47" t="s">
        <v>115</v>
      </c>
      <c r="M4" s="47" t="s">
        <v>116</v>
      </c>
      <c r="N4" s="47" t="s">
        <v>117</v>
      </c>
      <c r="O4" s="47" t="s">
        <v>118</v>
      </c>
      <c r="P4" s="47" t="s">
        <v>119</v>
      </c>
    </row>
    <row r="5" ht="20" customHeight="1" spans="1:16" x14ac:dyDescent="0.25">
      <c r="A5" s="13" t="s">
        <v>68</v>
      </c>
      <c r="B5" s="19">
        <v>5567405</v>
      </c>
      <c r="C5" s="48">
        <v>0.103</v>
      </c>
      <c r="D5" s="19">
        <v>208282</v>
      </c>
      <c r="E5" s="49">
        <v>45</v>
      </c>
      <c r="F5" s="19">
        <f>D5*E5</f>
        <v>9372690</v>
      </c>
      <c r="G5" s="19">
        <f>F5-B5</f>
        <v>3805285</v>
      </c>
      <c r="H5" s="48">
        <v>0.025</v>
      </c>
      <c r="I5" s="19">
        <f>B5*H5</f>
        <v>139185</v>
      </c>
      <c r="J5" s="48">
        <v>0.081</v>
      </c>
      <c r="K5" s="19">
        <v>143874</v>
      </c>
      <c r="L5" s="19">
        <f>K5*E5</f>
        <v>6474330</v>
      </c>
      <c r="M5" s="19">
        <f>L5-B5</f>
        <v>906925</v>
      </c>
      <c r="N5" s="48">
        <v>0.008</v>
      </c>
      <c r="O5" s="19">
        <f>B5*N5</f>
        <v>44539</v>
      </c>
      <c r="P5" s="19">
        <f>G5-I5-M5-O5</f>
      </c>
    </row>
    <row r="6" ht="20" customHeight="1" spans="1:16" x14ac:dyDescent="0.25">
      <c r="A6" s="20" t="s">
        <v>76</v>
      </c>
      <c r="B6" s="16">
        <v>3189332</v>
      </c>
      <c r="C6" s="50">
        <v>0.105</v>
      </c>
      <c r="D6" s="16">
        <v>128702</v>
      </c>
      <c r="E6" s="51">
        <v>27</v>
      </c>
      <c r="F6" s="16">
        <f>D6*E6</f>
        <v>3474954</v>
      </c>
      <c r="G6" s="16">
        <f>F6-B6</f>
        <v>285622</v>
      </c>
      <c r="H6" s="50">
        <v>0</v>
      </c>
      <c r="I6" s="16">
        <f>B6*H6</f>
        <v>0</v>
      </c>
      <c r="J6" s="50">
        <v>0.081</v>
      </c>
      <c r="K6" s="16">
        <v>129612</v>
      </c>
      <c r="L6" s="16">
        <f>K6*E6</f>
        <v>3499524</v>
      </c>
      <c r="M6" s="16">
        <f>L6-B6</f>
        <v>310192</v>
      </c>
      <c r="N6" s="50">
        <v>0.008</v>
      </c>
      <c r="O6" s="16">
        <f>B6*N6</f>
        <v>25515</v>
      </c>
      <c r="P6" s="16">
        <f>G6-I6-M6-O6</f>
      </c>
    </row>
    <row r="7" ht="20" customHeight="1" spans="1:16" x14ac:dyDescent="0.25">
      <c r="A7" s="13" t="s">
        <v>78</v>
      </c>
      <c r="B7" s="19">
        <v>6081559</v>
      </c>
      <c r="C7" s="48">
        <v>0.1375</v>
      </c>
      <c r="D7" s="19">
        <v>140721</v>
      </c>
      <c r="E7" s="49">
        <v>60</v>
      </c>
      <c r="F7" s="19">
        <f>D7*E7</f>
        <v>8443260</v>
      </c>
      <c r="G7" s="19">
        <f>F7-B7</f>
        <v>2361701</v>
      </c>
      <c r="H7" s="48">
        <v>0.04</v>
      </c>
      <c r="I7" s="19">
        <f>B7*H7</f>
        <v>243262</v>
      </c>
      <c r="J7" s="48">
        <v>0.085</v>
      </c>
      <c r="K7" s="19">
        <v>124773</v>
      </c>
      <c r="L7" s="19">
        <f>K7*E7</f>
        <v>7486380</v>
      </c>
      <c r="M7" s="19">
        <f>L7-B7</f>
        <v>1404821</v>
      </c>
      <c r="N7" s="48">
        <v>0.008</v>
      </c>
      <c r="O7" s="19">
        <f>B7*N7</f>
        <v>48652</v>
      </c>
      <c r="P7" s="19">
        <f>G7-I7-M7-O7</f>
      </c>
    </row>
    <row r="8" ht="20" customHeight="1" spans="1:16" x14ac:dyDescent="0.25">
      <c r="A8" s="20" t="s">
        <v>80</v>
      </c>
      <c r="B8" s="16">
        <v>5194122</v>
      </c>
      <c r="C8" s="50">
        <v>0.092</v>
      </c>
      <c r="D8" s="16">
        <v>90716</v>
      </c>
      <c r="E8" s="51">
        <v>76</v>
      </c>
      <c r="F8" s="16">
        <f>D8*E8</f>
        <v>6894416</v>
      </c>
      <c r="G8" s="16">
        <f>F8-B8</f>
        <v>1700294</v>
      </c>
      <c r="H8" s="50">
        <v>0</v>
      </c>
      <c r="I8" s="16">
        <f>B8*H8</f>
        <v>0</v>
      </c>
      <c r="J8" s="50">
        <v>0.076</v>
      </c>
      <c r="K8" s="16">
        <v>86319</v>
      </c>
      <c r="L8" s="16">
        <f>K8*E8</f>
        <v>6560244</v>
      </c>
      <c r="M8" s="16">
        <f>L8-B8</f>
        <v>1366122</v>
      </c>
      <c r="N8" s="50">
        <v>0.0055</v>
      </c>
      <c r="O8" s="16">
        <f>B8*N8</f>
        <v>28568</v>
      </c>
      <c r="P8" s="16">
        <f>G8-I8-M8-O8</f>
      </c>
    </row>
    <row r="9" ht="20" customHeight="1" spans="1:16" x14ac:dyDescent="0.25">
      <c r="A9" s="13" t="s">
        <v>82</v>
      </c>
      <c r="B9" s="19">
        <v>14524298</v>
      </c>
      <c r="C9" s="48">
        <v>0.094</v>
      </c>
      <c r="D9" s="19">
        <v>245809</v>
      </c>
      <c r="E9" s="49">
        <v>80</v>
      </c>
      <c r="F9" s="19">
        <f>D9*E9</f>
        <v>19664720</v>
      </c>
      <c r="G9" s="19">
        <f>F9-B9</f>
        <v>5140422</v>
      </c>
      <c r="H9" s="48">
        <v>0.04</v>
      </c>
      <c r="I9" s="19">
        <f>B9*H9</f>
        <v>580972</v>
      </c>
      <c r="J9" s="48">
        <v>0.085</v>
      </c>
      <c r="K9" s="19">
        <v>238452</v>
      </c>
      <c r="L9" s="19">
        <f>K9*E9</f>
        <v>19076160</v>
      </c>
      <c r="M9" s="19">
        <f>L9-B9</f>
        <v>4551862</v>
      </c>
      <c r="N9" s="48">
        <v>0.008</v>
      </c>
      <c r="O9" s="19">
        <f>B9*N9</f>
        <v>116194</v>
      </c>
      <c r="P9" s="19">
        <f>G9-I9-M9-O9</f>
      </c>
    </row>
    <row r="10" ht="20" customHeight="1" spans="1:16" x14ac:dyDescent="0.25">
      <c r="A10" s="20" t="s">
        <v>84</v>
      </c>
      <c r="B10" s="16">
        <v>1720065</v>
      </c>
      <c r="C10" s="50">
        <v>0.125</v>
      </c>
      <c r="D10" s="16">
        <v>67040</v>
      </c>
      <c r="E10" s="51">
        <v>30</v>
      </c>
      <c r="F10" s="16">
        <f>D10*E10</f>
        <v>2011200</v>
      </c>
      <c r="G10" s="16">
        <f>F10-B10</f>
        <v>291135</v>
      </c>
      <c r="H10" s="50">
        <v>0.04</v>
      </c>
      <c r="I10" s="16">
        <f>B10*H10</f>
        <v>68803</v>
      </c>
      <c r="J10" s="50">
        <v>0.081</v>
      </c>
      <c r="K10" s="16">
        <v>63530</v>
      </c>
      <c r="L10" s="16">
        <f>K10*E10</f>
        <v>1905900</v>
      </c>
      <c r="M10" s="16">
        <f>L10-B10</f>
        <v>185835</v>
      </c>
      <c r="N10" s="50">
        <v>0.008</v>
      </c>
      <c r="O10" s="16">
        <f>B10*N10</f>
        <v>13761</v>
      </c>
      <c r="P10" s="16">
        <f>G10-I10-M10-O10</f>
      </c>
    </row>
    <row r="11" ht="20" customHeight="1" spans="1:16" x14ac:dyDescent="0.25">
      <c r="A11" s="13" t="s">
        <v>120</v>
      </c>
      <c r="B11" s="19">
        <v>2660643</v>
      </c>
      <c r="C11" s="48">
        <v>0.09</v>
      </c>
      <c r="D11" s="19">
        <v>25000</v>
      </c>
      <c r="E11" s="49">
        <v>106</v>
      </c>
      <c r="F11" s="19">
        <f>D11*E11</f>
        <v>2650000</v>
      </c>
      <c r="G11" s="19">
        <f>F11-B11</f>
        <v>-10643</v>
      </c>
      <c r="H11" s="48">
        <v>0</v>
      </c>
      <c r="I11" s="19">
        <f>B11*H11</f>
        <v>0</v>
      </c>
      <c r="J11" s="48">
        <v>0.085</v>
      </c>
      <c r="K11" s="19">
        <v>24500</v>
      </c>
      <c r="L11" s="19">
        <f>K11*E11</f>
        <v>2597000</v>
      </c>
      <c r="M11" s="19">
        <f>L11-B11</f>
        <v>-63643</v>
      </c>
      <c r="N11" s="48">
        <v>0.005</v>
      </c>
      <c r="O11" s="19">
        <f>B11*N11</f>
        <v>13303</v>
      </c>
      <c r="P11" s="19">
        <f>G11-I11-M11-O11</f>
      </c>
    </row>
    <row r="12" ht="24" customHeight="1" spans="1:16" x14ac:dyDescent="0.25">
      <c r="A12" s="28" t="s">
        <v>89</v>
      </c>
      <c r="B12" s="30">
        <f>SUM(B5:B11)</f>
        <v>38937424</v>
      </c>
      <c r="C12" s="29"/>
      <c r="D12" s="30">
        <f>SUM(D5:D11)</f>
        <v>906270</v>
      </c>
      <c r="E12" s="29"/>
      <c r="F12" s="30">
        <f>SUM(F5:F11)</f>
        <v>52520858</v>
      </c>
      <c r="G12" s="30">
        <f>SUM(G5:G11)</f>
        <v>13583434</v>
      </c>
      <c r="H12" s="29"/>
      <c r="I12" s="30">
        <f>SUM(I5:I11)</f>
        <v>1032222</v>
      </c>
      <c r="J12" s="29"/>
      <c r="K12" s="30">
        <f>SUM(K5:K11)</f>
        <v>810969</v>
      </c>
      <c r="L12" s="30">
        <f>SUM(L5:L11)</f>
        <v>47600746</v>
      </c>
      <c r="M12" s="30">
        <f>SUM(M5:M11)</f>
        <v>8663322</v>
      </c>
      <c r="N12" s="29"/>
      <c r="O12" s="30">
        <f>SUM(O5:O11)</f>
        <v>290532</v>
      </c>
      <c r="P12" s="52">
        <f>SUM(P5:P11)</f>
        <v>3597358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O11"/>
  <sheetViews>
    <sheetView workbookViewId="0"/>
  </sheetViews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12" customWidth="1"/>
    <col min="5" max="5" width="16" customWidth="1"/>
    <col min="6" max="6" width="12" customWidth="1"/>
    <col min="7" max="7" width="15" customWidth="1"/>
    <col min="8" max="8" width="12" customWidth="1"/>
    <col min="9" max="10" width="16" customWidth="1"/>
    <col min="11" max="11" width="10" customWidth="1"/>
    <col min="12" max="12" width="14" customWidth="1"/>
    <col min="13" max="13" width="12" customWidth="1"/>
    <col min="14" max="14" width="14" customWidth="1"/>
    <col min="15" max="15" width="16" customWidth="1"/>
  </cols>
  <sheetData>
    <row r="1" ht="28" customHeight="1" spans="1:15" x14ac:dyDescent="0.25">
      <c r="A1" s="40" t="s">
        <v>121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ht="18" customHeight="1" spans="1:15" x14ac:dyDescent="0.25">
      <c r="A2" s="33" t="s">
        <v>122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4" ht="28" customHeight="1" spans="1:15" x14ac:dyDescent="0.25">
      <c r="A4" s="34" t="s">
        <v>105</v>
      </c>
      <c r="B4" s="34" t="s">
        <v>107</v>
      </c>
      <c r="C4" s="34" t="s">
        <v>108</v>
      </c>
      <c r="D4" s="34" t="s">
        <v>123</v>
      </c>
      <c r="E4" s="34" t="s">
        <v>124</v>
      </c>
      <c r="F4" s="34" t="s">
        <v>113</v>
      </c>
      <c r="G4" s="34" t="s">
        <v>114</v>
      </c>
      <c r="H4" s="34" t="s">
        <v>123</v>
      </c>
      <c r="I4" s="34" t="s">
        <v>125</v>
      </c>
      <c r="J4" s="34" t="s">
        <v>126</v>
      </c>
      <c r="K4" s="34" t="s">
        <v>111</v>
      </c>
      <c r="L4" s="34" t="s">
        <v>127</v>
      </c>
      <c r="M4" s="34" t="s">
        <v>117</v>
      </c>
      <c r="N4" s="34" t="s">
        <v>128</v>
      </c>
      <c r="O4" s="34" t="s">
        <v>129</v>
      </c>
    </row>
    <row r="5" ht="20" customHeight="1" spans="1:15" x14ac:dyDescent="0.25">
      <c r="A5" s="13" t="s">
        <v>68</v>
      </c>
      <c r="B5" s="48">
        <v>0.103</v>
      </c>
      <c r="C5" s="19">
        <v>208282</v>
      </c>
      <c r="D5" s="49">
        <v>14</v>
      </c>
      <c r="E5" s="19">
        <f>C5*D5</f>
        <v>2915948</v>
      </c>
      <c r="F5" s="48">
        <v>0.081</v>
      </c>
      <c r="G5" s="19">
        <v>143874</v>
      </c>
      <c r="H5" s="49">
        <v>14</v>
      </c>
      <c r="I5" s="19">
        <f>G5*H5</f>
        <v>2014236</v>
      </c>
      <c r="J5" s="19">
        <f>E5-I5</f>
        <v>901712</v>
      </c>
      <c r="K5" s="48">
        <v>0.025</v>
      </c>
      <c r="L5" s="19">
        <f>'BT Benefit Analysis'!I5</f>
      </c>
      <c r="M5" s="48">
        <v>0.008</v>
      </c>
      <c r="N5" s="19">
        <f>'BT Benefit Analysis'!O5</f>
      </c>
      <c r="O5" s="19">
        <f>L5+N5</f>
      </c>
    </row>
    <row r="6" ht="20" customHeight="1" spans="1:15" x14ac:dyDescent="0.25">
      <c r="A6" s="20" t="s">
        <v>76</v>
      </c>
      <c r="B6" s="50">
        <v>0.105</v>
      </c>
      <c r="C6" s="16">
        <v>128702</v>
      </c>
      <c r="D6" s="51">
        <v>14</v>
      </c>
      <c r="E6" s="16">
        <f>C6*D6</f>
        <v>1801828</v>
      </c>
      <c r="F6" s="50">
        <v>0.081</v>
      </c>
      <c r="G6" s="16">
        <v>129612</v>
      </c>
      <c r="H6" s="51">
        <v>14</v>
      </c>
      <c r="I6" s="16">
        <f>G6*H6</f>
        <v>1814568</v>
      </c>
      <c r="J6" s="16">
        <f>E6-I6</f>
        <v>-12740</v>
      </c>
      <c r="K6" s="50">
        <v>0</v>
      </c>
      <c r="L6" s="16">
        <f>'BT Benefit Analysis'!I6</f>
      </c>
      <c r="M6" s="50">
        <v>0.008</v>
      </c>
      <c r="N6" s="16">
        <f>'BT Benefit Analysis'!O6</f>
      </c>
      <c r="O6" s="16">
        <f>L6+N6</f>
      </c>
    </row>
    <row r="7" ht="20" customHeight="1" spans="1:15" x14ac:dyDescent="0.25">
      <c r="A7" s="13" t="s">
        <v>78</v>
      </c>
      <c r="B7" s="48">
        <v>0.1375</v>
      </c>
      <c r="C7" s="19">
        <v>140721</v>
      </c>
      <c r="D7" s="49">
        <v>14</v>
      </c>
      <c r="E7" s="19">
        <f>C7*D7</f>
        <v>1970094</v>
      </c>
      <c r="F7" s="48">
        <v>0.085</v>
      </c>
      <c r="G7" s="19">
        <v>124773</v>
      </c>
      <c r="H7" s="49">
        <v>14</v>
      </c>
      <c r="I7" s="19">
        <f>G7*H7</f>
        <v>1746822</v>
      </c>
      <c r="J7" s="19">
        <f>E7-I7</f>
        <v>223272</v>
      </c>
      <c r="K7" s="48">
        <v>0.04</v>
      </c>
      <c r="L7" s="19">
        <f>'BT Benefit Analysis'!I7</f>
      </c>
      <c r="M7" s="48">
        <v>0.008</v>
      </c>
      <c r="N7" s="19">
        <f>'BT Benefit Analysis'!O7</f>
      </c>
      <c r="O7" s="19">
        <f>L7+N7</f>
      </c>
    </row>
    <row r="8" ht="20" customHeight="1" spans="1:15" x14ac:dyDescent="0.25">
      <c r="A8" s="20" t="s">
        <v>80</v>
      </c>
      <c r="B8" s="50">
        <v>0.092</v>
      </c>
      <c r="C8" s="16">
        <v>90716</v>
      </c>
      <c r="D8" s="51">
        <v>14</v>
      </c>
      <c r="E8" s="16">
        <f>C8*D8</f>
        <v>1270024</v>
      </c>
      <c r="F8" s="50">
        <v>0.076</v>
      </c>
      <c r="G8" s="16">
        <v>86319</v>
      </c>
      <c r="H8" s="51">
        <v>14</v>
      </c>
      <c r="I8" s="16">
        <f>G8*H8</f>
        <v>1208466</v>
      </c>
      <c r="J8" s="16">
        <f>E8-I8</f>
        <v>61558</v>
      </c>
      <c r="K8" s="50">
        <v>0</v>
      </c>
      <c r="L8" s="16">
        <f>'BT Benefit Analysis'!I8</f>
      </c>
      <c r="M8" s="50">
        <v>0.0055</v>
      </c>
      <c r="N8" s="16">
        <f>'BT Benefit Analysis'!O8</f>
      </c>
      <c r="O8" s="16">
        <f>L8+N8</f>
      </c>
    </row>
    <row r="9" ht="20" customHeight="1" spans="1:15" x14ac:dyDescent="0.25">
      <c r="A9" s="13" t="s">
        <v>82</v>
      </c>
      <c r="B9" s="48">
        <v>0.094</v>
      </c>
      <c r="C9" s="19">
        <v>245809</v>
      </c>
      <c r="D9" s="49">
        <v>14</v>
      </c>
      <c r="E9" s="19">
        <f>C9*D9</f>
        <v>3441326</v>
      </c>
      <c r="F9" s="48">
        <v>0.085</v>
      </c>
      <c r="G9" s="19">
        <v>238452</v>
      </c>
      <c r="H9" s="49">
        <v>14</v>
      </c>
      <c r="I9" s="19">
        <f>G9*H9</f>
        <v>3338328</v>
      </c>
      <c r="J9" s="19">
        <f>E9-I9</f>
        <v>102998</v>
      </c>
      <c r="K9" s="48">
        <v>0.04</v>
      </c>
      <c r="L9" s="19">
        <f>'BT Benefit Analysis'!I9</f>
      </c>
      <c r="M9" s="48">
        <v>0.008</v>
      </c>
      <c r="N9" s="19">
        <f>'BT Benefit Analysis'!O9</f>
      </c>
      <c r="O9" s="19">
        <f>L9+N9</f>
      </c>
    </row>
    <row r="10" ht="20" customHeight="1" spans="1:15" x14ac:dyDescent="0.25">
      <c r="A10" s="20" t="s">
        <v>84</v>
      </c>
      <c r="B10" s="50">
        <v>0.125</v>
      </c>
      <c r="C10" s="16">
        <v>67040</v>
      </c>
      <c r="D10" s="51">
        <v>14</v>
      </c>
      <c r="E10" s="16">
        <f>C10*D10</f>
        <v>938560</v>
      </c>
      <c r="F10" s="50">
        <v>0.081</v>
      </c>
      <c r="G10" s="16">
        <v>63530</v>
      </c>
      <c r="H10" s="51">
        <v>14</v>
      </c>
      <c r="I10" s="16">
        <f>G10*H10</f>
        <v>889420</v>
      </c>
      <c r="J10" s="16">
        <f>E10-I10</f>
        <v>49140</v>
      </c>
      <c r="K10" s="50">
        <v>0.04</v>
      </c>
      <c r="L10" s="16">
        <f>'BT Benefit Analysis'!I10</f>
      </c>
      <c r="M10" s="50">
        <v>0.008</v>
      </c>
      <c r="N10" s="16">
        <f>'BT Benefit Analysis'!O10</f>
      </c>
      <c r="O10" s="16">
        <f>L10+N10</f>
      </c>
    </row>
    <row r="11" ht="24" customHeight="1" spans="1:15" x14ac:dyDescent="0.25">
      <c r="A11" s="28" t="s">
        <v>89</v>
      </c>
      <c r="B11" s="29"/>
      <c r="C11" s="29"/>
      <c r="D11" s="29"/>
      <c r="E11" s="30">
        <f>SUM(E5:E10)</f>
        <v>12337780</v>
      </c>
      <c r="F11" s="29"/>
      <c r="G11" s="29"/>
      <c r="H11" s="29"/>
      <c r="I11" s="30">
        <f>SUM(I5:I10)</f>
        <v>11011840</v>
      </c>
      <c r="J11" s="31">
        <f>SUM(J5:J10)</f>
        <v>1325940</v>
      </c>
      <c r="K11" s="29"/>
      <c r="L11" s="30">
        <f>SUM(L5:L10)</f>
        <v>1032222</v>
      </c>
      <c r="M11" s="29"/>
      <c r="N11" s="30">
        <f>SUM(N5:N10)</f>
        <v>277229</v>
      </c>
      <c r="O11" s="30">
        <f>SUM(O5:O10)</f>
        <v>1309451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4748B"/>
  </sheetPr>
  <dimension ref="A1:S12"/>
  <sheetViews>
    <sheetView workbookViewId="0"/>
  </sheetViews>
  <sheetFormatPr defaultRowHeight="15" outlineLevelRow="0" outlineLevelCol="0" x14ac:dyDescent="55"/>
  <cols>
    <col min="1" max="1" width="22" customWidth="1"/>
    <col min="2" max="5" width="16" customWidth="1"/>
    <col min="6" max="6" width="18" customWidth="1"/>
    <col min="7" max="7" width="12" customWidth="1"/>
    <col min="8" max="8" width="15" customWidth="1"/>
    <col min="9" max="9" width="12" customWidth="1"/>
    <col min="10" max="10" width="15" customWidth="1"/>
    <col min="11" max="11" width="18" customWidth="1"/>
    <col min="12" max="12" width="4" customWidth="1"/>
    <col min="13" max="13" width="18" customWidth="1"/>
    <col min="14" max="14" width="14" customWidth="1"/>
    <col min="15" max="15" width="20" customWidth="1"/>
    <col min="16" max="16" width="14" customWidth="1"/>
    <col min="17" max="17" width="18" customWidth="1"/>
    <col min="18" max="18" width="10" customWidth="1"/>
    <col min="19" max="19" width="18" customWidth="1"/>
  </cols>
  <sheetData>
    <row r="1" ht="26" customHeight="1" spans="1:11" x14ac:dyDescent="0.25">
      <c r="A1" s="40" t="s">
        <v>130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9" x14ac:dyDescent="0.25">
      <c r="A3" s="53" t="s">
        <v>53</v>
      </c>
      <c r="B3" s="53" t="s">
        <v>131</v>
      </c>
      <c r="C3" s="53" t="s">
        <v>132</v>
      </c>
      <c r="D3" s="53" t="s">
        <v>56</v>
      </c>
      <c r="E3" s="53" t="s">
        <v>133</v>
      </c>
      <c r="F3" s="53" t="s">
        <v>134</v>
      </c>
      <c r="G3" s="53" t="s">
        <v>62</v>
      </c>
      <c r="H3" s="53" t="s">
        <v>63</v>
      </c>
      <c r="I3" s="53" t="s">
        <v>64</v>
      </c>
      <c r="J3" s="53" t="s">
        <v>65</v>
      </c>
      <c r="K3" s="53" t="s">
        <v>66</v>
      </c>
      <c r="M3" s="53" t="s">
        <v>135</v>
      </c>
      <c r="N3" s="53" t="s">
        <v>136</v>
      </c>
      <c r="O3" s="53" t="s">
        <v>43</v>
      </c>
      <c r="P3" s="53" t="s">
        <v>136</v>
      </c>
      <c r="Q3" s="53" t="s">
        <v>137</v>
      </c>
      <c r="R3" s="53" t="s">
        <v>138</v>
      </c>
      <c r="S3" s="53" t="s">
        <v>139</v>
      </c>
    </row>
    <row r="4" ht="20" customHeight="1" spans="1:19" x14ac:dyDescent="0.25">
      <c r="A4" s="13" t="s">
        <v>67</v>
      </c>
      <c r="B4" s="13" t="s">
        <v>68</v>
      </c>
      <c r="C4" s="13" t="s">
        <v>69</v>
      </c>
      <c r="D4" s="19">
        <v>13257000</v>
      </c>
      <c r="E4" s="19">
        <v>208282</v>
      </c>
      <c r="F4" s="19">
        <v>5567405</v>
      </c>
      <c r="G4" s="35" t="s">
        <v>70</v>
      </c>
      <c r="H4" s="19">
        <f>IF(UPPER(G4)="YES",E4,0)</f>
      </c>
      <c r="I4" s="35" t="s">
        <v>71</v>
      </c>
      <c r="J4" s="19">
        <f>IF(UPPER(I4)="YES",E4,0)</f>
      </c>
      <c r="K4" s="19">
        <f>IF(UPPER(I4)="YES",F4,0)</f>
      </c>
      <c r="M4" s="41">
        <v>1830</v>
      </c>
      <c r="N4" s="42">
        <v>12000</v>
      </c>
      <c r="O4" s="41">
        <v>1565</v>
      </c>
      <c r="P4" s="42">
        <v>2500</v>
      </c>
      <c r="Q4" s="19">
        <f>(M4*N4)+(O4*P4)</f>
      </c>
      <c r="R4" s="54">
        <v>0.7</v>
      </c>
      <c r="S4" s="19">
        <f>Q4*R4</f>
      </c>
    </row>
    <row r="5" ht="20" customHeight="1" spans="1:19" x14ac:dyDescent="0.25">
      <c r="A5" s="20" t="s">
        <v>67</v>
      </c>
      <c r="B5" s="20" t="s">
        <v>72</v>
      </c>
      <c r="C5" s="20" t="s">
        <v>73</v>
      </c>
      <c r="D5" s="16">
        <v>32700000</v>
      </c>
      <c r="E5" s="16">
        <v>500000</v>
      </c>
      <c r="F5" s="16">
        <v>29064399</v>
      </c>
      <c r="G5" s="38" t="s">
        <v>70</v>
      </c>
      <c r="H5" s="16">
        <f>IF(UPPER(G5)="YES",E5,0)</f>
      </c>
      <c r="I5" s="38" t="s">
        <v>70</v>
      </c>
      <c r="J5" s="16">
        <f>IF(UPPER(I5)="YES",E5,0)</f>
      </c>
      <c r="K5" s="16">
        <f>IF(UPPER(I5)="YES",F5,0)</f>
      </c>
      <c r="M5" s="41">
        <v>1500</v>
      </c>
      <c r="N5" s="42">
        <v>25000</v>
      </c>
      <c r="O5" s="41">
        <v>0</v>
      </c>
      <c r="P5" s="42">
        <v>0</v>
      </c>
      <c r="Q5" s="19">
        <f>(M5*N5)+(O5*P5)</f>
      </c>
      <c r="R5" s="54">
        <v>0.7</v>
      </c>
      <c r="S5" s="19">
        <f>Q5*R5</f>
      </c>
    </row>
    <row r="6" ht="20" customHeight="1" spans="1:19" x14ac:dyDescent="0.25">
      <c r="A6" s="13" t="s">
        <v>75</v>
      </c>
      <c r="B6" s="13" t="s">
        <v>76</v>
      </c>
      <c r="C6" s="13" t="s">
        <v>77</v>
      </c>
      <c r="D6" s="19">
        <v>6000000</v>
      </c>
      <c r="E6" s="19">
        <v>128702</v>
      </c>
      <c r="F6" s="19">
        <v>3189332</v>
      </c>
      <c r="G6" s="35" t="s">
        <v>70</v>
      </c>
      <c r="H6" s="19">
        <f>IF(UPPER(G6)="YES",E6,0)</f>
      </c>
      <c r="I6" s="35" t="s">
        <v>71</v>
      </c>
      <c r="J6" s="19">
        <f>IF(UPPER(I6)="YES",E6,0)</f>
      </c>
      <c r="K6" s="19">
        <f>IF(UPPER(I6)="YES",F6,0)</f>
      </c>
      <c r="M6" s="28" t="s">
        <v>140</v>
      </c>
      <c r="N6" s="29"/>
      <c r="O6" s="29"/>
      <c r="P6" s="29"/>
      <c r="Q6" s="30">
        <f>SUM(Q4:Q5)</f>
      </c>
      <c r="R6" s="29"/>
      <c r="S6" s="31">
        <f>SUM(S4:S5)</f>
      </c>
    </row>
    <row r="7" ht="20" customHeight="1" spans="1:11" x14ac:dyDescent="0.25">
      <c r="A7" s="20" t="s">
        <v>75</v>
      </c>
      <c r="B7" s="20" t="s">
        <v>78</v>
      </c>
      <c r="C7" s="20" t="s">
        <v>79</v>
      </c>
      <c r="D7" s="16">
        <v>6081559</v>
      </c>
      <c r="E7" s="16">
        <v>69685</v>
      </c>
      <c r="F7" s="16">
        <v>6081559</v>
      </c>
      <c r="G7" s="38" t="s">
        <v>70</v>
      </c>
      <c r="H7" s="16">
        <f>IF(UPPER(G7)="YES",E7,0)</f>
      </c>
      <c r="I7" s="38" t="s">
        <v>71</v>
      </c>
      <c r="J7" s="16">
        <f>IF(UPPER(I7)="YES",E7,0)</f>
      </c>
      <c r="K7" s="16">
        <f>IF(UPPER(I7)="YES",F7,0)</f>
      </c>
    </row>
    <row r="8" ht="20" customHeight="1" spans="1:16" x14ac:dyDescent="0.25">
      <c r="A8" s="13" t="s">
        <v>75</v>
      </c>
      <c r="B8" s="13" t="s">
        <v>80</v>
      </c>
      <c r="C8" s="13" t="s">
        <v>81</v>
      </c>
      <c r="D8" s="19">
        <v>7900000</v>
      </c>
      <c r="E8" s="19">
        <v>90716</v>
      </c>
      <c r="F8" s="19">
        <v>5194122</v>
      </c>
      <c r="G8" s="35" t="s">
        <v>70</v>
      </c>
      <c r="H8" s="19">
        <f>IF(UPPER(G8)="YES",E8,0)</f>
      </c>
      <c r="I8" s="35" t="s">
        <v>71</v>
      </c>
      <c r="J8" s="19">
        <f>IF(UPPER(I8)="YES",E8,0)</f>
      </c>
      <c r="K8" s="19">
        <f>IF(UPPER(I8)="YES",F8,0)</f>
      </c>
      <c r="M8" s="55" t="s">
        <v>141</v>
      </c>
      <c r="N8" s="55" t="s">
        <v>142</v>
      </c>
      <c r="O8" s="55" t="s">
        <v>143</v>
      </c>
      <c r="P8" s="55" t="s">
        <v>144</v>
      </c>
    </row>
    <row r="9" ht="20" customHeight="1" spans="1:16" x14ac:dyDescent="0.25">
      <c r="A9" s="20" t="s">
        <v>75</v>
      </c>
      <c r="B9" s="20" t="s">
        <v>82</v>
      </c>
      <c r="C9" s="20" t="s">
        <v>83</v>
      </c>
      <c r="D9" s="16">
        <v>17800000</v>
      </c>
      <c r="E9" s="16">
        <v>245809</v>
      </c>
      <c r="F9" s="16">
        <v>14524298</v>
      </c>
      <c r="G9" s="38" t="s">
        <v>70</v>
      </c>
      <c r="H9" s="16">
        <f>IF(UPPER(G9)="YES",E9,0)</f>
      </c>
      <c r="I9" s="38" t="s">
        <v>71</v>
      </c>
      <c r="J9" s="16">
        <f>IF(UPPER(I9)="YES",E9,0)</f>
      </c>
      <c r="K9" s="16">
        <f>IF(UPPER(I9)="YES",F9,0)</f>
      </c>
      <c r="M9" s="12" t="s">
        <v>145</v>
      </c>
      <c r="N9" s="19">
        <v>45000000</v>
      </c>
      <c r="O9" s="19">
        <f>K12</f>
      </c>
      <c r="P9" s="56">
        <f>N9-O9</f>
      </c>
    </row>
    <row r="10" ht="20" customHeight="1" spans="1:16" x14ac:dyDescent="0.25">
      <c r="A10" s="13" t="s">
        <v>75</v>
      </c>
      <c r="B10" s="13" t="s">
        <v>84</v>
      </c>
      <c r="C10" s="13" t="s">
        <v>85</v>
      </c>
      <c r="D10" s="19">
        <v>2000000</v>
      </c>
      <c r="E10" s="19">
        <v>67040</v>
      </c>
      <c r="F10" s="19">
        <v>1720065</v>
      </c>
      <c r="G10" s="35" t="s">
        <v>70</v>
      </c>
      <c r="H10" s="19">
        <f>IF(UPPER(G10)="YES",E10,0)</f>
      </c>
      <c r="I10" s="35" t="s">
        <v>71</v>
      </c>
      <c r="J10" s="19">
        <f>IF(UPPER(I10)="YES",E10,0)</f>
      </c>
      <c r="K10" s="19">
        <f>IF(UPPER(I10)="YES",F10,0)</f>
      </c>
      <c r="M10" s="12" t="s">
        <v>146</v>
      </c>
      <c r="N10" s="19">
        <v>443250</v>
      </c>
      <c r="O10" s="19">
        <f>J12</f>
      </c>
      <c r="P10" s="56">
        <f>O10-N10</f>
      </c>
    </row>
    <row r="11" ht="20" customHeight="1" spans="1:11" x14ac:dyDescent="0.25">
      <c r="A11" s="20" t="s">
        <v>86</v>
      </c>
      <c r="B11" s="20" t="s">
        <v>87</v>
      </c>
      <c r="C11" s="20" t="s">
        <v>88</v>
      </c>
      <c r="D11" s="16">
        <v>2500000</v>
      </c>
      <c r="E11" s="16">
        <v>25000</v>
      </c>
      <c r="F11" s="16">
        <v>2660643</v>
      </c>
      <c r="G11" s="38" t="s">
        <v>70</v>
      </c>
      <c r="H11" s="16">
        <f>IF(UPPER(G11)="YES",E11,0)</f>
      </c>
      <c r="I11" s="38" t="s">
        <v>71</v>
      </c>
      <c r="J11" s="16">
        <f>IF(UPPER(I11)="YES",E11,0)</f>
      </c>
      <c r="K11" s="16">
        <f>IF(UPPER(I11)="YES",F11,0)</f>
      </c>
    </row>
    <row r="12" ht="24" customHeight="1" spans="1:11" x14ac:dyDescent="0.25">
      <c r="A12" s="28" t="s">
        <v>89</v>
      </c>
      <c r="B12" s="29"/>
      <c r="C12" s="29"/>
      <c r="D12" s="30">
        <f>SUM(D4:D11)</f>
      </c>
      <c r="E12" s="30">
        <f>SUM(E4:E11)</f>
      </c>
      <c r="F12" s="30">
        <f>SUM(F4:F11)</f>
      </c>
      <c r="G12" s="29"/>
      <c r="H12" s="30">
        <f>SUM(H4:H11)</f>
      </c>
      <c r="I12" s="29"/>
      <c r="J12" s="30">
        <f>SUM(J4:J11)</f>
      </c>
      <c r="K12" s="31">
        <f>SUM(K4:K11)</f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Existing Loans</vt:lpstr>
      <vt:lpstr>Collateral &amp; LTV</vt:lpstr>
      <vt:lpstr>BT Benefit Analysis</vt:lpstr>
      <vt:lpstr>14M Horizon Comparison</vt:lpstr>
      <vt:lpstr>Working Model (All-In-One)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SkyFinserv Credit &amp; Underwriting Desk</dc:creator>
  <cp:lastModifiedBy>SkyFinserv Financial Engine</cp:lastModifiedBy>
  <dcterms:created xsi:type="dcterms:W3CDTF">2026-10-07T13:24:52Z</dcterms:created>
  <dcterms:modified xsi:type="dcterms:W3CDTF">2026-10-07T13:24:52Z</dcterms:modified>
</cp:coreProperties>
</file>